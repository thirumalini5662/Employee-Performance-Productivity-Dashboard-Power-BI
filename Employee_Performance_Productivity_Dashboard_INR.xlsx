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Performance" sheetId="1" state="visible" r:id="rId1"/>
    <sheet xmlns:r="http://schemas.openxmlformats.org/officeDocument/2006/relationships" name="Performance Dashboard" sheetId="2" state="visible" r:id="rId2"/>
    <sheet xmlns:r="http://schemas.openxmlformats.org/officeDocument/2006/relationships" name="Top 10 Star Performers" sheetId="3" state="visible" r:id="rId3"/>
    <sheet xmlns:r="http://schemas.openxmlformats.org/officeDocument/2006/relationships" name="What-If Scenarios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42424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7" fontId="0" fillId="0" borderId="0" pivotButton="0" quotePrefix="0" xfId="0"/>
    <xf numFmtId="165" fontId="0" fillId="0" borderId="0" pivotButton="0" quotePrefix="0" xfId="0"/>
    <xf numFmtId="0" fontId="2" fillId="3" borderId="0" pivotButton="0" quotePrefix="0" xfId="0"/>
    <xf numFmtId="0" fontId="3" fillId="4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2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Performance Rating by Department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'Performance Dashboard'!C21</f>
            </strRef>
          </tx>
          <spPr>
            <a:ln xmlns:a="http://schemas.openxmlformats.org/drawingml/2006/main">
              <a:prstDash val="solid"/>
            </a:ln>
          </spPr>
          <cat>
            <numRef>
              <f>'Performance Dashboard'!$A$22:$A$28</f>
            </numRef>
          </cat>
          <val>
            <numRef>
              <f>'Performance Dashboard'!$C$22:$C$28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Training Hours Groups</a:t>
            </a:r>
          </a:p>
        </rich>
      </tx>
    </title>
    <plotArea>
      <pieChart>
        <varyColors val="1"/>
        <ser>
          <idx val="0"/>
          <order val="0"/>
          <tx>
            <strRef>
              <f>'Performance Dashboard'!H21</f>
            </strRef>
          </tx>
          <spPr>
            <a:ln xmlns:a="http://schemas.openxmlformats.org/drawingml/2006/main">
              <a:prstDash val="solid"/>
            </a:ln>
          </spPr>
          <cat>
            <numRef>
              <f>'Performance Dashboard'!$G$22:$G$24</f>
            </numRef>
          </cat>
          <val>
            <numRef>
              <f>'Performance Dashboard'!$H$22:$H$24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Productivity Categories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'Performance Dashboard'!H27</f>
            </strRef>
          </tx>
          <spPr>
            <a:ln xmlns:a="http://schemas.openxmlformats.org/drawingml/2006/main">
              <a:prstDash val="solid"/>
            </a:ln>
          </spPr>
          <cat>
            <numRef>
              <f>'Performance Dashboard'!$G$28:$G$30</f>
            </numRef>
          </cat>
          <val>
            <numRef>
              <f>'Performance Dashboard'!$H$28:$H$30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Average Utilization Trend</a:t>
            </a:r>
          </a:p>
        </rich>
      </tx>
    </title>
    <plotArea>
      <lineChart>
        <grouping val="standard"/>
        <ser>
          <idx val="0"/>
          <order val="0"/>
          <tx>
            <strRef>
              <f>'Performance Dashboard'!H35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'Performance Dashboard'!$G$36:$G$47</f>
            </numRef>
          </cat>
          <val>
            <numRef>
              <f>'Performance Dashboard'!$H$36:$H$47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31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31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46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mployeePerformanceTable" displayName="EmployeePerformanceTable" ref="A1:S221" headerRowCount="1">
  <autoFilter ref="A1:S221"/>
  <tableColumns count="19">
    <tableColumn id="1" name="Employee_ID"/>
    <tableColumn id="2" name="Name"/>
    <tableColumn id="3" name="Department"/>
    <tableColumn id="4" name="Role"/>
    <tableColumn id="5" name="Manager"/>
    <tableColumn id="6" name="Performance_Rating (1-5)"/>
    <tableColumn id="7" name="Targets_Assigned"/>
    <tableColumn id="8" name="Targets_Achieved"/>
    <tableColumn id="9" name="Hours_Worked"/>
    <tableColumn id="10" name="Billable_Hours"/>
    <tableColumn id="11" name="Training_Hours"/>
    <tableColumn id="12" name="Manager_Feedback"/>
    <tableColumn id="13" name="Month"/>
    <tableColumn id="14" name="Utilization %"/>
    <tableColumn id="15" name="Target Achievement %"/>
    <tableColumn id="16" name="Training Category"/>
    <tableColumn id="17" name="Performance Category"/>
    <tableColumn id="18" name="Productivity Category"/>
    <tableColumn id="19" name="Productivity Scor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30" customWidth="1" min="4" max="4"/>
    <col width="18" customWidth="1" min="5" max="5"/>
    <col width="24" customWidth="1" min="6" max="6"/>
    <col width="16" customWidth="1" min="7" max="7"/>
    <col width="16" customWidth="1" min="8" max="8"/>
    <col width="15" customWidth="1" min="9" max="9"/>
    <col width="16" customWidth="1" min="10" max="10"/>
    <col width="16" customWidth="1" min="11" max="11"/>
    <col width="28" customWidth="1" min="12" max="12"/>
    <col width="12" customWidth="1" min="13" max="13"/>
    <col width="15" customWidth="1" min="14" max="14"/>
    <col width="22" customWidth="1" min="15" max="15"/>
    <col width="18" customWidth="1" min="16" max="16"/>
    <col width="24" customWidth="1" min="17" max="17"/>
    <col width="22" customWidth="1" min="18" max="18"/>
    <col width="18" customWidth="1" min="19" max="19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Manager</t>
        </is>
      </c>
      <c r="F1" s="1" t="inlineStr">
        <is>
          <t>Performance_Rating (1-5)</t>
        </is>
      </c>
      <c r="G1" s="1" t="inlineStr">
        <is>
          <t>Targets_Assigned</t>
        </is>
      </c>
      <c r="H1" s="1" t="inlineStr">
        <is>
          <t>Targets_Achieved</t>
        </is>
      </c>
      <c r="I1" s="1" t="inlineStr">
        <is>
          <t>Hours_Worked</t>
        </is>
      </c>
      <c r="J1" s="1" t="inlineStr">
        <is>
          <t>Billable_Hours</t>
        </is>
      </c>
      <c r="K1" s="1" t="inlineStr">
        <is>
          <t>Training_Hours</t>
        </is>
      </c>
      <c r="L1" s="1" t="inlineStr">
        <is>
          <t>Manager_Feedback</t>
        </is>
      </c>
      <c r="M1" s="1" t="inlineStr">
        <is>
          <t>Month</t>
        </is>
      </c>
      <c r="N1" s="1" t="inlineStr">
        <is>
          <t>Utilization %</t>
        </is>
      </c>
      <c r="O1" s="1" t="inlineStr">
        <is>
          <t>Target Achievement %</t>
        </is>
      </c>
      <c r="P1" s="1" t="inlineStr">
        <is>
          <t>Training Category</t>
        </is>
      </c>
      <c r="Q1" s="1" t="inlineStr">
        <is>
          <t>Performance Category</t>
        </is>
      </c>
      <c r="R1" s="1" t="inlineStr">
        <is>
          <t>Productivity Category</t>
        </is>
      </c>
      <c r="S1" s="1" t="inlineStr">
        <is>
          <t>Productivity Score</t>
        </is>
      </c>
    </row>
    <row r="2">
      <c r="A2" t="inlineStr">
        <is>
          <t>EMP1001</t>
        </is>
      </c>
      <c r="B2" t="inlineStr">
        <is>
          <t>Employee 001</t>
        </is>
      </c>
      <c r="C2" t="inlineStr">
        <is>
          <t>Finance</t>
        </is>
      </c>
      <c r="D2" t="inlineStr">
        <is>
          <t>Accountant</t>
        </is>
      </c>
      <c r="E2" t="inlineStr">
        <is>
          <t>Priya Sharma</t>
        </is>
      </c>
      <c r="F2" t="n">
        <v>4</v>
      </c>
      <c r="G2" t="n">
        <v>91</v>
      </c>
      <c r="H2" t="n">
        <v>85</v>
      </c>
      <c r="I2" t="n">
        <v>221</v>
      </c>
      <c r="J2" t="n">
        <v>161</v>
      </c>
      <c r="K2" t="n">
        <v>12</v>
      </c>
      <c r="L2" t="inlineStr">
        <is>
          <t>Strong contributor</t>
        </is>
      </c>
      <c r="M2" s="2" t="n">
        <v>45992</v>
      </c>
      <c r="N2" s="3">
        <f>IFERROR(J2/I2,0)</f>
        <v/>
      </c>
      <c r="O2" s="3">
        <f>IFERROR(H2/G2,0)</f>
        <v/>
      </c>
      <c r="P2">
        <f>IF(K2&lt;10,"Low",IF(K2&lt;=20,"Medium","High"))</f>
        <v/>
      </c>
      <c r="Q2">
        <f>IF(AND(F2&gt;=4,N2&gt;=80%),"Star Performer",IF(F2&gt;=3,"Meets Expectations","Needs Improvement"))</f>
        <v/>
      </c>
      <c r="R2">
        <f>IF(O2&gt;=90%,"High Productivity",IF(O2&gt;=60%,"Medium Productivity","Low Productivity"))</f>
        <v/>
      </c>
      <c r="S2">
        <f>ROUND((F2/5)*50+N2*25+O2*25,1)</f>
        <v/>
      </c>
    </row>
    <row r="3">
      <c r="A3" t="inlineStr">
        <is>
          <t>EMP1002</t>
        </is>
      </c>
      <c r="B3" t="inlineStr">
        <is>
          <t>Employee 002</t>
        </is>
      </c>
      <c r="C3" t="inlineStr">
        <is>
          <t>IT</t>
        </is>
      </c>
      <c r="D3" t="inlineStr">
        <is>
          <t>Data Analyst</t>
        </is>
      </c>
      <c r="E3" t="inlineStr">
        <is>
          <t>Karthik Rao</t>
        </is>
      </c>
      <c r="F3" t="n">
        <v>3</v>
      </c>
      <c r="G3" t="n">
        <v>55</v>
      </c>
      <c r="H3" t="n">
        <v>52</v>
      </c>
      <c r="I3" t="n">
        <v>178</v>
      </c>
      <c r="J3" t="n">
        <v>157</v>
      </c>
      <c r="K3" t="n">
        <v>1</v>
      </c>
      <c r="L3" t="inlineStr">
        <is>
          <t>Meets expectations</t>
        </is>
      </c>
      <c r="M3" s="2" t="n">
        <v>45962</v>
      </c>
      <c r="N3" s="3">
        <f>IFERROR(J3/I3,0)</f>
        <v/>
      </c>
      <c r="O3" s="3">
        <f>IFERROR(H3/G3,0)</f>
        <v/>
      </c>
      <c r="P3">
        <f>IF(K3&lt;10,"Low",IF(K3&lt;=20,"Medium","High"))</f>
        <v/>
      </c>
      <c r="Q3">
        <f>IF(AND(F3&gt;=4,N3&gt;=80%),"Star Performer",IF(F3&gt;=3,"Meets Expectations","Needs Improvement"))</f>
        <v/>
      </c>
      <c r="R3">
        <f>IF(O3&gt;=90%,"High Productivity",IF(O3&gt;=60%,"Medium Productivity","Low Productivity"))</f>
        <v/>
      </c>
      <c r="S3">
        <f>ROUND((F3/5)*50+N3*25+O3*25,1)</f>
        <v/>
      </c>
    </row>
    <row r="4">
      <c r="A4" t="inlineStr">
        <is>
          <t>EMP1003</t>
        </is>
      </c>
      <c r="B4" t="inlineStr">
        <is>
          <t>Employee 003</t>
        </is>
      </c>
      <c r="C4" t="inlineStr">
        <is>
          <t>Operations</t>
        </is>
      </c>
      <c r="D4" t="inlineStr">
        <is>
          <t>Process Analyst</t>
        </is>
      </c>
      <c r="E4" t="inlineStr">
        <is>
          <t>Arun Kumar</t>
        </is>
      </c>
      <c r="F4" t="n">
        <v>1</v>
      </c>
      <c r="G4" t="n">
        <v>105</v>
      </c>
      <c r="H4" t="n">
        <v>80</v>
      </c>
      <c r="I4" t="n">
        <v>194</v>
      </c>
      <c r="J4" t="n">
        <v>148</v>
      </c>
      <c r="K4" t="n">
        <v>17</v>
      </c>
      <c r="L4" t="inlineStr">
        <is>
          <t>Needs close supervision</t>
        </is>
      </c>
      <c r="M4" s="2" t="n">
        <v>45870</v>
      </c>
      <c r="N4" s="3">
        <f>IFERROR(J4/I4,0)</f>
        <v/>
      </c>
      <c r="O4" s="3">
        <f>IFERROR(H4/G4,0)</f>
        <v/>
      </c>
      <c r="P4">
        <f>IF(K4&lt;10,"Low",IF(K4&lt;=20,"Medium","High"))</f>
        <v/>
      </c>
      <c r="Q4">
        <f>IF(AND(F4&gt;=4,N4&gt;=80%),"Star Performer",IF(F4&gt;=3,"Meets Expectations","Needs Improvement"))</f>
        <v/>
      </c>
      <c r="R4">
        <f>IF(O4&gt;=90%,"High Productivity",IF(O4&gt;=60%,"Medium Productivity","Low Productivity"))</f>
        <v/>
      </c>
      <c r="S4">
        <f>ROUND((F4/5)*50+N4*25+O4*25,1)</f>
        <v/>
      </c>
    </row>
    <row r="5">
      <c r="A5" t="inlineStr">
        <is>
          <t>EMP1004</t>
        </is>
      </c>
      <c r="B5" t="inlineStr">
        <is>
          <t>Employee 004</t>
        </is>
      </c>
      <c r="C5" t="inlineStr">
        <is>
          <t>Operations</t>
        </is>
      </c>
      <c r="D5" t="inlineStr">
        <is>
          <t>Operations Manager</t>
        </is>
      </c>
      <c r="E5" t="inlineStr">
        <is>
          <t>Arun Kumar</t>
        </is>
      </c>
      <c r="F5" t="n">
        <v>4</v>
      </c>
      <c r="G5" t="n">
        <v>57</v>
      </c>
      <c r="H5" t="n">
        <v>54</v>
      </c>
      <c r="I5" t="n">
        <v>224</v>
      </c>
      <c r="J5" t="n">
        <v>131</v>
      </c>
      <c r="K5" t="n">
        <v>17</v>
      </c>
      <c r="L5" t="inlineStr">
        <is>
          <t>Strong contributor</t>
        </is>
      </c>
      <c r="M5" s="2" t="n">
        <v>45992</v>
      </c>
      <c r="N5" s="3">
        <f>IFERROR(J5/I5,0)</f>
        <v/>
      </c>
      <c r="O5" s="3">
        <f>IFERROR(H5/G5,0)</f>
        <v/>
      </c>
      <c r="P5">
        <f>IF(K5&lt;10,"Low",IF(K5&lt;=20,"Medium","High"))</f>
        <v/>
      </c>
      <c r="Q5">
        <f>IF(AND(F5&gt;=4,N5&gt;=80%),"Star Performer",IF(F5&gt;=3,"Meets Expectations","Needs Improvement"))</f>
        <v/>
      </c>
      <c r="R5">
        <f>IF(O5&gt;=90%,"High Productivity",IF(O5&gt;=60%,"Medium Productivity","Low Productivity"))</f>
        <v/>
      </c>
      <c r="S5">
        <f>ROUND((F5/5)*50+N5*25+O5*25,1)</f>
        <v/>
      </c>
    </row>
    <row r="6">
      <c r="A6" t="inlineStr">
        <is>
          <t>EMP1005</t>
        </is>
      </c>
      <c r="B6" t="inlineStr">
        <is>
          <t>Employee 005</t>
        </is>
      </c>
      <c r="C6" t="inlineStr">
        <is>
          <t>HR</t>
        </is>
      </c>
      <c r="D6" t="inlineStr">
        <is>
          <t>HR Analyst</t>
        </is>
      </c>
      <c r="E6" t="inlineStr">
        <is>
          <t>Meena Joseph</t>
        </is>
      </c>
      <c r="F6" t="n">
        <v>1</v>
      </c>
      <c r="G6" t="n">
        <v>71</v>
      </c>
      <c r="H6" t="n">
        <v>38</v>
      </c>
      <c r="I6" t="n">
        <v>178</v>
      </c>
      <c r="J6" t="n">
        <v>87</v>
      </c>
      <c r="K6" t="n">
        <v>11</v>
      </c>
      <c r="L6" t="inlineStr">
        <is>
          <t>Needs close supervision</t>
        </is>
      </c>
      <c r="M6" s="2" t="n">
        <v>45931</v>
      </c>
      <c r="N6" s="3">
        <f>IFERROR(J6/I6,0)</f>
        <v/>
      </c>
      <c r="O6" s="3">
        <f>IFERROR(H6/G6,0)</f>
        <v/>
      </c>
      <c r="P6">
        <f>IF(K6&lt;10,"Low",IF(K6&lt;=20,"Medium","High"))</f>
        <v/>
      </c>
      <c r="Q6">
        <f>IF(AND(F6&gt;=4,N6&gt;=80%),"Star Performer",IF(F6&gt;=3,"Meets Expectations","Needs Improvement"))</f>
        <v/>
      </c>
      <c r="R6">
        <f>IF(O6&gt;=90%,"High Productivity",IF(O6&gt;=60%,"Medium Productivity","Low Productivity"))</f>
        <v/>
      </c>
      <c r="S6">
        <f>ROUND((F6/5)*50+N6*25+O6*25,1)</f>
        <v/>
      </c>
    </row>
    <row r="7">
      <c r="A7" t="inlineStr">
        <is>
          <t>EMP1006</t>
        </is>
      </c>
      <c r="B7" t="inlineStr">
        <is>
          <t>Employee 006</t>
        </is>
      </c>
      <c r="C7" t="inlineStr">
        <is>
          <t>Customer Support</t>
        </is>
      </c>
      <c r="D7" t="inlineStr">
        <is>
          <t>Support Analyst</t>
        </is>
      </c>
      <c r="E7" t="inlineStr">
        <is>
          <t>Meena Joseph</t>
        </is>
      </c>
      <c r="F7" t="n">
        <v>4</v>
      </c>
      <c r="G7" t="n">
        <v>83</v>
      </c>
      <c r="H7" t="n">
        <v>73</v>
      </c>
      <c r="I7" t="n">
        <v>212</v>
      </c>
      <c r="J7" t="n">
        <v>127</v>
      </c>
      <c r="K7" t="n">
        <v>13</v>
      </c>
      <c r="L7" t="inlineStr">
        <is>
          <t>Strong contributor</t>
        </is>
      </c>
      <c r="M7" s="2" t="n">
        <v>45689</v>
      </c>
      <c r="N7" s="3">
        <f>IFERROR(J7/I7,0)</f>
        <v/>
      </c>
      <c r="O7" s="3">
        <f>IFERROR(H7/G7,0)</f>
        <v/>
      </c>
      <c r="P7">
        <f>IF(K7&lt;10,"Low",IF(K7&lt;=20,"Medium","High"))</f>
        <v/>
      </c>
      <c r="Q7">
        <f>IF(AND(F7&gt;=4,N7&gt;=80%),"Star Performer",IF(F7&gt;=3,"Meets Expectations","Needs Improvement"))</f>
        <v/>
      </c>
      <c r="R7">
        <f>IF(O7&gt;=90%,"High Productivity",IF(O7&gt;=60%,"Medium Productivity","Low Productivity"))</f>
        <v/>
      </c>
      <c r="S7">
        <f>ROUND((F7/5)*50+N7*25+O7*25,1)</f>
        <v/>
      </c>
    </row>
    <row r="8">
      <c r="A8" t="inlineStr">
        <is>
          <t>EMP1007</t>
        </is>
      </c>
      <c r="B8" t="inlineStr">
        <is>
          <t>Employee 007</t>
        </is>
      </c>
      <c r="C8" t="inlineStr">
        <is>
          <t>Customer Support</t>
        </is>
      </c>
      <c r="D8" t="inlineStr">
        <is>
          <t>Support Executive</t>
        </is>
      </c>
      <c r="E8" t="inlineStr">
        <is>
          <t>Rahul Menon</t>
        </is>
      </c>
      <c r="F8" t="n">
        <v>5</v>
      </c>
      <c r="G8" t="n">
        <v>70</v>
      </c>
      <c r="H8" t="n">
        <v>55</v>
      </c>
      <c r="I8" t="n">
        <v>159</v>
      </c>
      <c r="J8" t="n">
        <v>137</v>
      </c>
      <c r="K8" t="n">
        <v>16</v>
      </c>
      <c r="L8" t="inlineStr">
        <is>
          <t>Exceptional performer</t>
        </is>
      </c>
      <c r="M8" s="2" t="n">
        <v>45839</v>
      </c>
      <c r="N8" s="3">
        <f>IFERROR(J8/I8,0)</f>
        <v/>
      </c>
      <c r="O8" s="3">
        <f>IFERROR(H8/G8,0)</f>
        <v/>
      </c>
      <c r="P8">
        <f>IF(K8&lt;10,"Low",IF(K8&lt;=20,"Medium","High"))</f>
        <v/>
      </c>
      <c r="Q8">
        <f>IF(AND(F8&gt;=4,N8&gt;=80%),"Star Performer",IF(F8&gt;=3,"Meets Expectations","Needs Improvement"))</f>
        <v/>
      </c>
      <c r="R8">
        <f>IF(O8&gt;=90%,"High Productivity",IF(O8&gt;=60%,"Medium Productivity","Low Productivity"))</f>
        <v/>
      </c>
      <c r="S8">
        <f>ROUND((F8/5)*50+N8*25+O8*25,1)</f>
        <v/>
      </c>
    </row>
    <row r="9">
      <c r="A9" t="inlineStr">
        <is>
          <t>EMP1008</t>
        </is>
      </c>
      <c r="B9" t="inlineStr">
        <is>
          <t>Employee 008</t>
        </is>
      </c>
      <c r="C9" t="inlineStr">
        <is>
          <t>IT</t>
        </is>
      </c>
      <c r="D9" t="inlineStr">
        <is>
          <t>Data Analyst</t>
        </is>
      </c>
      <c r="E9" t="inlineStr">
        <is>
          <t>Karthik Rao</t>
        </is>
      </c>
      <c r="F9" t="n">
        <v>3</v>
      </c>
      <c r="G9" t="n">
        <v>67</v>
      </c>
      <c r="H9" t="n">
        <v>46</v>
      </c>
      <c r="I9" t="n">
        <v>217</v>
      </c>
      <c r="J9" t="n">
        <v>176</v>
      </c>
      <c r="K9" t="n">
        <v>23</v>
      </c>
      <c r="L9" t="inlineStr">
        <is>
          <t>Meets expectations</t>
        </is>
      </c>
      <c r="M9" s="2" t="n">
        <v>45931</v>
      </c>
      <c r="N9" s="3">
        <f>IFERROR(J9/I9,0)</f>
        <v/>
      </c>
      <c r="O9" s="3">
        <f>IFERROR(H9/G9,0)</f>
        <v/>
      </c>
      <c r="P9">
        <f>IF(K9&lt;10,"Low",IF(K9&lt;=20,"Medium","High"))</f>
        <v/>
      </c>
      <c r="Q9">
        <f>IF(AND(F9&gt;=4,N9&gt;=80%),"Star Performer",IF(F9&gt;=3,"Meets Expectations","Needs Improvement"))</f>
        <v/>
      </c>
      <c r="R9">
        <f>IF(O9&gt;=90%,"High Productivity",IF(O9&gt;=60%,"Medium Productivity","Low Productivity"))</f>
        <v/>
      </c>
      <c r="S9">
        <f>ROUND((F9/5)*50+N9*25+O9*25,1)</f>
        <v/>
      </c>
    </row>
    <row r="10">
      <c r="A10" t="inlineStr">
        <is>
          <t>EMP1009</t>
        </is>
      </c>
      <c r="B10" t="inlineStr">
        <is>
          <t>Employee 009</t>
        </is>
      </c>
      <c r="C10" t="inlineStr">
        <is>
          <t>HR</t>
        </is>
      </c>
      <c r="D10" t="inlineStr">
        <is>
          <t>HR Executive</t>
        </is>
      </c>
      <c r="E10" t="inlineStr">
        <is>
          <t>Arun Kumar</t>
        </is>
      </c>
      <c r="F10" t="n">
        <v>3</v>
      </c>
      <c r="G10" t="n">
        <v>55</v>
      </c>
      <c r="H10" t="n">
        <v>40</v>
      </c>
      <c r="I10" t="n">
        <v>207</v>
      </c>
      <c r="J10" t="n">
        <v>146</v>
      </c>
      <c r="K10" t="n">
        <v>9</v>
      </c>
      <c r="L10" t="inlineStr">
        <is>
          <t>Meets expectations</t>
        </is>
      </c>
      <c r="M10" s="2" t="n">
        <v>45931</v>
      </c>
      <c r="N10" s="3">
        <f>IFERROR(J10/I10,0)</f>
        <v/>
      </c>
      <c r="O10" s="3">
        <f>IFERROR(H10/G10,0)</f>
        <v/>
      </c>
      <c r="P10">
        <f>IF(K10&lt;10,"Low",IF(K10&lt;=20,"Medium","High"))</f>
        <v/>
      </c>
      <c r="Q10">
        <f>IF(AND(F10&gt;=4,N10&gt;=80%),"Star Performer",IF(F10&gt;=3,"Meets Expectations","Needs Improvement"))</f>
        <v/>
      </c>
      <c r="R10">
        <f>IF(O10&gt;=90%,"High Productivity",IF(O10&gt;=60%,"Medium Productivity","Low Productivity"))</f>
        <v/>
      </c>
      <c r="S10">
        <f>ROUND((F10/5)*50+N10*25+O10*25,1)</f>
        <v/>
      </c>
    </row>
    <row r="11">
      <c r="A11" t="inlineStr">
        <is>
          <t>EMP1010</t>
        </is>
      </c>
      <c r="B11" t="inlineStr">
        <is>
          <t>Employee 010</t>
        </is>
      </c>
      <c r="C11" t="inlineStr">
        <is>
          <t>IT</t>
        </is>
      </c>
      <c r="D11" t="inlineStr">
        <is>
          <t>Data Analyst</t>
        </is>
      </c>
      <c r="E11" t="inlineStr">
        <is>
          <t>Karthik Rao</t>
        </is>
      </c>
      <c r="F11" t="n">
        <v>2</v>
      </c>
      <c r="G11" t="n">
        <v>94</v>
      </c>
      <c r="H11" t="n">
        <v>64</v>
      </c>
      <c r="I11" t="n">
        <v>184</v>
      </c>
      <c r="J11" t="n">
        <v>118</v>
      </c>
      <c r="K11" t="n">
        <v>9</v>
      </c>
      <c r="L11" t="inlineStr">
        <is>
          <t>Needs additional guidance</t>
        </is>
      </c>
      <c r="M11" s="2" t="n">
        <v>45901</v>
      </c>
      <c r="N11" s="3">
        <f>IFERROR(J11/I11,0)</f>
        <v/>
      </c>
      <c r="O11" s="3">
        <f>IFERROR(H11/G11,0)</f>
        <v/>
      </c>
      <c r="P11">
        <f>IF(K11&lt;10,"Low",IF(K11&lt;=20,"Medium","High"))</f>
        <v/>
      </c>
      <c r="Q11">
        <f>IF(AND(F11&gt;=4,N11&gt;=80%),"Star Performer",IF(F11&gt;=3,"Meets Expectations","Needs Improvement"))</f>
        <v/>
      </c>
      <c r="R11">
        <f>IF(O11&gt;=90%,"High Productivity",IF(O11&gt;=60%,"Medium Productivity","Low Productivity"))</f>
        <v/>
      </c>
      <c r="S11">
        <f>ROUND((F11/5)*50+N11*25+O11*25,1)</f>
        <v/>
      </c>
    </row>
    <row r="12">
      <c r="A12" t="inlineStr">
        <is>
          <t>EMP1011</t>
        </is>
      </c>
      <c r="B12" t="inlineStr">
        <is>
          <t>Employee 011</t>
        </is>
      </c>
      <c r="C12" t="inlineStr">
        <is>
          <t>IT</t>
        </is>
      </c>
      <c r="D12" t="inlineStr">
        <is>
          <t>QA Analyst</t>
        </is>
      </c>
      <c r="E12" t="inlineStr">
        <is>
          <t>Priya Sharma</t>
        </is>
      </c>
      <c r="F12" t="n">
        <v>4</v>
      </c>
      <c r="G12" t="n">
        <v>82</v>
      </c>
      <c r="H12" t="n">
        <v>72</v>
      </c>
      <c r="I12" t="n">
        <v>212</v>
      </c>
      <c r="J12" t="n">
        <v>148</v>
      </c>
      <c r="K12" t="n">
        <v>15</v>
      </c>
      <c r="L12" t="inlineStr">
        <is>
          <t>Strong contributor</t>
        </is>
      </c>
      <c r="M12" s="2" t="n">
        <v>45778</v>
      </c>
      <c r="N12" s="3">
        <f>IFERROR(J12/I12,0)</f>
        <v/>
      </c>
      <c r="O12" s="3">
        <f>IFERROR(H12/G12,0)</f>
        <v/>
      </c>
      <c r="P12">
        <f>IF(K12&lt;10,"Low",IF(K12&lt;=20,"Medium","High"))</f>
        <v/>
      </c>
      <c r="Q12">
        <f>IF(AND(F12&gt;=4,N12&gt;=80%),"Star Performer",IF(F12&gt;=3,"Meets Expectations","Needs Improvement"))</f>
        <v/>
      </c>
      <c r="R12">
        <f>IF(O12&gt;=90%,"High Productivity",IF(O12&gt;=60%,"Medium Productivity","Low Productivity"))</f>
        <v/>
      </c>
      <c r="S12">
        <f>ROUND((F12/5)*50+N12*25+O12*25,1)</f>
        <v/>
      </c>
    </row>
    <row r="13">
      <c r="A13" t="inlineStr">
        <is>
          <t>EMP1012</t>
        </is>
      </c>
      <c r="B13" t="inlineStr">
        <is>
          <t>Employee 012</t>
        </is>
      </c>
      <c r="C13" t="inlineStr">
        <is>
          <t>Finance</t>
        </is>
      </c>
      <c r="D13" t="inlineStr">
        <is>
          <t>Accountant</t>
        </is>
      </c>
      <c r="E13" t="inlineStr">
        <is>
          <t>Divya Iyer</t>
        </is>
      </c>
      <c r="F13" t="n">
        <v>4</v>
      </c>
      <c r="G13" t="n">
        <v>95</v>
      </c>
      <c r="H13" t="n">
        <v>75</v>
      </c>
      <c r="I13" t="n">
        <v>222</v>
      </c>
      <c r="J13" t="n">
        <v>133</v>
      </c>
      <c r="K13" t="n">
        <v>13</v>
      </c>
      <c r="L13" t="inlineStr">
        <is>
          <t>Strong contributor</t>
        </is>
      </c>
      <c r="M13" s="2" t="n">
        <v>45778</v>
      </c>
      <c r="N13" s="3">
        <f>IFERROR(J13/I13,0)</f>
        <v/>
      </c>
      <c r="O13" s="3">
        <f>IFERROR(H13/G13,0)</f>
        <v/>
      </c>
      <c r="P13">
        <f>IF(K13&lt;10,"Low",IF(K13&lt;=20,"Medium","High"))</f>
        <v/>
      </c>
      <c r="Q13">
        <f>IF(AND(F13&gt;=4,N13&gt;=80%),"Star Performer",IF(F13&gt;=3,"Meets Expectations","Needs Improvement"))</f>
        <v/>
      </c>
      <c r="R13">
        <f>IF(O13&gt;=90%,"High Productivity",IF(O13&gt;=60%,"Medium Productivity","Low Productivity"))</f>
        <v/>
      </c>
      <c r="S13">
        <f>ROUND((F13/5)*50+N13*25+O13*25,1)</f>
        <v/>
      </c>
    </row>
    <row r="14">
      <c r="A14" t="inlineStr">
        <is>
          <t>EMP1013</t>
        </is>
      </c>
      <c r="B14" t="inlineStr">
        <is>
          <t>Employee 013</t>
        </is>
      </c>
      <c r="C14" t="inlineStr">
        <is>
          <t>Customer Support</t>
        </is>
      </c>
      <c r="D14" t="inlineStr">
        <is>
          <t>Support Executive</t>
        </is>
      </c>
      <c r="E14" t="inlineStr">
        <is>
          <t>Karthik Rao</t>
        </is>
      </c>
      <c r="F14" t="n">
        <v>3</v>
      </c>
      <c r="G14" t="n">
        <v>48</v>
      </c>
      <c r="H14" t="n">
        <v>39</v>
      </c>
      <c r="I14" t="n">
        <v>199</v>
      </c>
      <c r="J14" t="n">
        <v>135</v>
      </c>
      <c r="K14" t="n">
        <v>15</v>
      </c>
      <c r="L14" t="inlineStr">
        <is>
          <t>Meets expectations</t>
        </is>
      </c>
      <c r="M14" s="2" t="n">
        <v>45839</v>
      </c>
      <c r="N14" s="3">
        <f>IFERROR(J14/I14,0)</f>
        <v/>
      </c>
      <c r="O14" s="3">
        <f>IFERROR(H14/G14,0)</f>
        <v/>
      </c>
      <c r="P14">
        <f>IF(K14&lt;10,"Low",IF(K14&lt;=20,"Medium","High"))</f>
        <v/>
      </c>
      <c r="Q14">
        <f>IF(AND(F14&gt;=4,N14&gt;=80%),"Star Performer",IF(F14&gt;=3,"Meets Expectations","Needs Improvement"))</f>
        <v/>
      </c>
      <c r="R14">
        <f>IF(O14&gt;=90%,"High Productivity",IF(O14&gt;=60%,"Medium Productivity","Low Productivity"))</f>
        <v/>
      </c>
      <c r="S14">
        <f>ROUND((F14/5)*50+N14*25+O14*25,1)</f>
        <v/>
      </c>
    </row>
    <row r="15">
      <c r="A15" t="inlineStr">
        <is>
          <t>EMP1014</t>
        </is>
      </c>
      <c r="B15" t="inlineStr">
        <is>
          <t>Employee 014</t>
        </is>
      </c>
      <c r="C15" t="inlineStr">
        <is>
          <t>Operations</t>
        </is>
      </c>
      <c r="D15" t="inlineStr">
        <is>
          <t>Operations Executive</t>
        </is>
      </c>
      <c r="E15" t="inlineStr">
        <is>
          <t>Priya Sharma</t>
        </is>
      </c>
      <c r="F15" t="n">
        <v>4</v>
      </c>
      <c r="G15" t="n">
        <v>110</v>
      </c>
      <c r="H15" t="n">
        <v>88</v>
      </c>
      <c r="I15" t="n">
        <v>163</v>
      </c>
      <c r="J15" t="n">
        <v>110</v>
      </c>
      <c r="K15" t="n">
        <v>22</v>
      </c>
      <c r="L15" t="inlineStr">
        <is>
          <t>Strong contributor</t>
        </is>
      </c>
      <c r="M15" s="2" t="n">
        <v>45717</v>
      </c>
      <c r="N15" s="3">
        <f>IFERROR(J15/I15,0)</f>
        <v/>
      </c>
      <c r="O15" s="3">
        <f>IFERROR(H15/G15,0)</f>
        <v/>
      </c>
      <c r="P15">
        <f>IF(K15&lt;10,"Low",IF(K15&lt;=20,"Medium","High"))</f>
        <v/>
      </c>
      <c r="Q15">
        <f>IF(AND(F15&gt;=4,N15&gt;=80%),"Star Performer",IF(F15&gt;=3,"Meets Expectations","Needs Improvement"))</f>
        <v/>
      </c>
      <c r="R15">
        <f>IF(O15&gt;=90%,"High Productivity",IF(O15&gt;=60%,"Medium Productivity","Low Productivity"))</f>
        <v/>
      </c>
      <c r="S15">
        <f>ROUND((F15/5)*50+N15*25+O15*25,1)</f>
        <v/>
      </c>
    </row>
    <row r="16">
      <c r="A16" t="inlineStr">
        <is>
          <t>EMP1015</t>
        </is>
      </c>
      <c r="B16" t="inlineStr">
        <is>
          <t>Employee 015</t>
        </is>
      </c>
      <c r="C16" t="inlineStr">
        <is>
          <t>Sales</t>
        </is>
      </c>
      <c r="D16" t="inlineStr">
        <is>
          <t>Sales Executive</t>
        </is>
      </c>
      <c r="E16" t="inlineStr">
        <is>
          <t>Arun Kumar</t>
        </is>
      </c>
      <c r="F16" t="n">
        <v>3</v>
      </c>
      <c r="G16" t="n">
        <v>112</v>
      </c>
      <c r="H16" t="n">
        <v>103</v>
      </c>
      <c r="I16" t="n">
        <v>196</v>
      </c>
      <c r="J16" t="n">
        <v>129</v>
      </c>
      <c r="K16" t="n">
        <v>32</v>
      </c>
      <c r="L16" t="inlineStr">
        <is>
          <t>Meets expectations</t>
        </is>
      </c>
      <c r="M16" s="2" t="n">
        <v>45870</v>
      </c>
      <c r="N16" s="3">
        <f>IFERROR(J16/I16,0)</f>
        <v/>
      </c>
      <c r="O16" s="3">
        <f>IFERROR(H16/G16,0)</f>
        <v/>
      </c>
      <c r="P16">
        <f>IF(K16&lt;10,"Low",IF(K16&lt;=20,"Medium","High"))</f>
        <v/>
      </c>
      <c r="Q16">
        <f>IF(AND(F16&gt;=4,N16&gt;=80%),"Star Performer",IF(F16&gt;=3,"Meets Expectations","Needs Improvement"))</f>
        <v/>
      </c>
      <c r="R16">
        <f>IF(O16&gt;=90%,"High Productivity",IF(O16&gt;=60%,"Medium Productivity","Low Productivity"))</f>
        <v/>
      </c>
      <c r="S16">
        <f>ROUND((F16/5)*50+N16*25+O16*25,1)</f>
        <v/>
      </c>
    </row>
    <row r="17">
      <c r="A17" t="inlineStr">
        <is>
          <t>EMP1016</t>
        </is>
      </c>
      <c r="B17" t="inlineStr">
        <is>
          <t>Employee 016</t>
        </is>
      </c>
      <c r="C17" t="inlineStr">
        <is>
          <t>Marketing</t>
        </is>
      </c>
      <c r="D17" t="inlineStr">
        <is>
          <t>Digital Marketing Analyst</t>
        </is>
      </c>
      <c r="E17" t="inlineStr">
        <is>
          <t>Divya Iyer</t>
        </is>
      </c>
      <c r="F17" t="n">
        <v>3</v>
      </c>
      <c r="G17" t="n">
        <v>74</v>
      </c>
      <c r="H17" t="n">
        <v>60</v>
      </c>
      <c r="I17" t="n">
        <v>156</v>
      </c>
      <c r="J17" t="n">
        <v>97</v>
      </c>
      <c r="K17" t="n">
        <v>12</v>
      </c>
      <c r="L17" t="inlineStr">
        <is>
          <t>Meets expectations</t>
        </is>
      </c>
      <c r="M17" s="2" t="n">
        <v>45809</v>
      </c>
      <c r="N17" s="3">
        <f>IFERROR(J17/I17,0)</f>
        <v/>
      </c>
      <c r="O17" s="3">
        <f>IFERROR(H17/G17,0)</f>
        <v/>
      </c>
      <c r="P17">
        <f>IF(K17&lt;10,"Low",IF(K17&lt;=20,"Medium","High"))</f>
        <v/>
      </c>
      <c r="Q17">
        <f>IF(AND(F17&gt;=4,N17&gt;=80%),"Star Performer",IF(F17&gt;=3,"Meets Expectations","Needs Improvement"))</f>
        <v/>
      </c>
      <c r="R17">
        <f>IF(O17&gt;=90%,"High Productivity",IF(O17&gt;=60%,"Medium Productivity","Low Productivity"))</f>
        <v/>
      </c>
      <c r="S17">
        <f>ROUND((F17/5)*50+N17*25+O17*25,1)</f>
        <v/>
      </c>
    </row>
    <row r="18">
      <c r="A18" t="inlineStr">
        <is>
          <t>EMP1017</t>
        </is>
      </c>
      <c r="B18" t="inlineStr">
        <is>
          <t>Employee 017</t>
        </is>
      </c>
      <c r="C18" t="inlineStr">
        <is>
          <t>Sales</t>
        </is>
      </c>
      <c r="D18" t="inlineStr">
        <is>
          <t>Business Development Executive</t>
        </is>
      </c>
      <c r="E18" t="inlineStr">
        <is>
          <t>Divya Iyer</t>
        </is>
      </c>
      <c r="F18" t="n">
        <v>4</v>
      </c>
      <c r="G18" t="n">
        <v>69</v>
      </c>
      <c r="H18" t="n">
        <v>74</v>
      </c>
      <c r="I18" t="n">
        <v>166</v>
      </c>
      <c r="J18" t="n">
        <v>144</v>
      </c>
      <c r="K18" t="n">
        <v>20</v>
      </c>
      <c r="L18" t="inlineStr">
        <is>
          <t>Strong contributor</t>
        </is>
      </c>
      <c r="M18" s="2" t="n">
        <v>45992</v>
      </c>
      <c r="N18" s="3">
        <f>IFERROR(J18/I18,0)</f>
        <v/>
      </c>
      <c r="O18" s="3">
        <f>IFERROR(H18/G18,0)</f>
        <v/>
      </c>
      <c r="P18">
        <f>IF(K18&lt;10,"Low",IF(K18&lt;=20,"Medium","High"))</f>
        <v/>
      </c>
      <c r="Q18">
        <f>IF(AND(F18&gt;=4,N18&gt;=80%),"Star Performer",IF(F18&gt;=3,"Meets Expectations","Needs Improvement"))</f>
        <v/>
      </c>
      <c r="R18">
        <f>IF(O18&gt;=90%,"High Productivity",IF(O18&gt;=60%,"Medium Productivity","Low Productivity"))</f>
        <v/>
      </c>
      <c r="S18">
        <f>ROUND((F18/5)*50+N18*25+O18*25,1)</f>
        <v/>
      </c>
    </row>
    <row r="19">
      <c r="A19" t="inlineStr">
        <is>
          <t>EMP1018</t>
        </is>
      </c>
      <c r="B19" t="inlineStr">
        <is>
          <t>Employee 018</t>
        </is>
      </c>
      <c r="C19" t="inlineStr">
        <is>
          <t>Operations</t>
        </is>
      </c>
      <c r="D19" t="inlineStr">
        <is>
          <t>Process Analyst</t>
        </is>
      </c>
      <c r="E19" t="inlineStr">
        <is>
          <t>Priya Sharma</t>
        </is>
      </c>
      <c r="F19" t="n">
        <v>3</v>
      </c>
      <c r="G19" t="n">
        <v>85</v>
      </c>
      <c r="H19" t="n">
        <v>62</v>
      </c>
      <c r="I19" t="n">
        <v>171</v>
      </c>
      <c r="J19" t="n">
        <v>113</v>
      </c>
      <c r="K19" t="n">
        <v>8</v>
      </c>
      <c r="L19" t="inlineStr">
        <is>
          <t>Meets expectations</t>
        </is>
      </c>
      <c r="M19" s="2" t="n">
        <v>45931</v>
      </c>
      <c r="N19" s="3">
        <f>IFERROR(J19/I19,0)</f>
        <v/>
      </c>
      <c r="O19" s="3">
        <f>IFERROR(H19/G19,0)</f>
        <v/>
      </c>
      <c r="P19">
        <f>IF(K19&lt;10,"Low",IF(K19&lt;=20,"Medium","High"))</f>
        <v/>
      </c>
      <c r="Q19">
        <f>IF(AND(F19&gt;=4,N19&gt;=80%),"Star Performer",IF(F19&gt;=3,"Meets Expectations","Needs Improvement"))</f>
        <v/>
      </c>
      <c r="R19">
        <f>IF(O19&gt;=90%,"High Productivity",IF(O19&gt;=60%,"Medium Productivity","Low Productivity"))</f>
        <v/>
      </c>
      <c r="S19">
        <f>ROUND((F19/5)*50+N19*25+O19*25,1)</f>
        <v/>
      </c>
    </row>
    <row r="20">
      <c r="A20" t="inlineStr">
        <is>
          <t>EMP1019</t>
        </is>
      </c>
      <c r="B20" t="inlineStr">
        <is>
          <t>Employee 019</t>
        </is>
      </c>
      <c r="C20" t="inlineStr">
        <is>
          <t>Finance</t>
        </is>
      </c>
      <c r="D20" t="inlineStr">
        <is>
          <t>Accountant</t>
        </is>
      </c>
      <c r="E20" t="inlineStr">
        <is>
          <t>Rahul Menon</t>
        </is>
      </c>
      <c r="F20" t="n">
        <v>4</v>
      </c>
      <c r="G20" t="n">
        <v>108</v>
      </c>
      <c r="H20" t="n">
        <v>99</v>
      </c>
      <c r="I20" t="n">
        <v>157</v>
      </c>
      <c r="J20" t="n">
        <v>125</v>
      </c>
      <c r="K20" t="n">
        <v>28</v>
      </c>
      <c r="L20" t="inlineStr">
        <is>
          <t>Strong contributor</t>
        </is>
      </c>
      <c r="M20" s="2" t="n">
        <v>45809</v>
      </c>
      <c r="N20" s="3">
        <f>IFERROR(J20/I20,0)</f>
        <v/>
      </c>
      <c r="O20" s="3">
        <f>IFERROR(H20/G20,0)</f>
        <v/>
      </c>
      <c r="P20">
        <f>IF(K20&lt;10,"Low",IF(K20&lt;=20,"Medium","High"))</f>
        <v/>
      </c>
      <c r="Q20">
        <f>IF(AND(F20&gt;=4,N20&gt;=80%),"Star Performer",IF(F20&gt;=3,"Meets Expectations","Needs Improvement"))</f>
        <v/>
      </c>
      <c r="R20">
        <f>IF(O20&gt;=90%,"High Productivity",IF(O20&gt;=60%,"Medium Productivity","Low Productivity"))</f>
        <v/>
      </c>
      <c r="S20">
        <f>ROUND((F20/5)*50+N20*25+O20*25,1)</f>
        <v/>
      </c>
    </row>
    <row r="21">
      <c r="A21" t="inlineStr">
        <is>
          <t>EMP1020</t>
        </is>
      </c>
      <c r="B21" t="inlineStr">
        <is>
          <t>Employee 020</t>
        </is>
      </c>
      <c r="C21" t="inlineStr">
        <is>
          <t>Sales</t>
        </is>
      </c>
      <c r="D21" t="inlineStr">
        <is>
          <t>Sales Manager</t>
        </is>
      </c>
      <c r="E21" t="inlineStr">
        <is>
          <t>Arun Kumar</t>
        </is>
      </c>
      <c r="F21" t="n">
        <v>3</v>
      </c>
      <c r="G21" t="n">
        <v>81</v>
      </c>
      <c r="H21" t="n">
        <v>54</v>
      </c>
      <c r="I21" t="n">
        <v>177</v>
      </c>
      <c r="J21" t="n">
        <v>110</v>
      </c>
      <c r="K21" t="n">
        <v>9</v>
      </c>
      <c r="L21" t="inlineStr">
        <is>
          <t>Meets expectations</t>
        </is>
      </c>
      <c r="M21" s="2" t="n">
        <v>45901</v>
      </c>
      <c r="N21" s="3">
        <f>IFERROR(J21/I21,0)</f>
        <v/>
      </c>
      <c r="O21" s="3">
        <f>IFERROR(H21/G21,0)</f>
        <v/>
      </c>
      <c r="P21">
        <f>IF(K21&lt;10,"Low",IF(K21&lt;=20,"Medium","High"))</f>
        <v/>
      </c>
      <c r="Q21">
        <f>IF(AND(F21&gt;=4,N21&gt;=80%),"Star Performer",IF(F21&gt;=3,"Meets Expectations","Needs Improvement"))</f>
        <v/>
      </c>
      <c r="R21">
        <f>IF(O21&gt;=90%,"High Productivity",IF(O21&gt;=60%,"Medium Productivity","Low Productivity"))</f>
        <v/>
      </c>
      <c r="S21">
        <f>ROUND((F21/5)*50+N21*25+O21*25,1)</f>
        <v/>
      </c>
    </row>
    <row r="22">
      <c r="A22" t="inlineStr">
        <is>
          <t>EMP1021</t>
        </is>
      </c>
      <c r="B22" t="inlineStr">
        <is>
          <t>Employee 021</t>
        </is>
      </c>
      <c r="C22" t="inlineStr">
        <is>
          <t>Sales</t>
        </is>
      </c>
      <c r="D22" t="inlineStr">
        <is>
          <t>Sales Manager</t>
        </is>
      </c>
      <c r="E22" t="inlineStr">
        <is>
          <t>Priya Sharma</t>
        </is>
      </c>
      <c r="F22" t="n">
        <v>3</v>
      </c>
      <c r="G22" t="n">
        <v>87</v>
      </c>
      <c r="H22" t="n">
        <v>67</v>
      </c>
      <c r="I22" t="n">
        <v>167</v>
      </c>
      <c r="J22" t="n">
        <v>121</v>
      </c>
      <c r="K22" t="n">
        <v>9</v>
      </c>
      <c r="L22" t="inlineStr">
        <is>
          <t>Meets expectations</t>
        </is>
      </c>
      <c r="M22" s="2" t="n">
        <v>45717</v>
      </c>
      <c r="N22" s="3">
        <f>IFERROR(J22/I22,0)</f>
        <v/>
      </c>
      <c r="O22" s="3">
        <f>IFERROR(H22/G22,0)</f>
        <v/>
      </c>
      <c r="P22">
        <f>IF(K22&lt;10,"Low",IF(K22&lt;=20,"Medium","High"))</f>
        <v/>
      </c>
      <c r="Q22">
        <f>IF(AND(F22&gt;=4,N22&gt;=80%),"Star Performer",IF(F22&gt;=3,"Meets Expectations","Needs Improvement"))</f>
        <v/>
      </c>
      <c r="R22">
        <f>IF(O22&gt;=90%,"High Productivity",IF(O22&gt;=60%,"Medium Productivity","Low Productivity"))</f>
        <v/>
      </c>
      <c r="S22">
        <f>ROUND((F22/5)*50+N22*25+O22*25,1)</f>
        <v/>
      </c>
    </row>
    <row r="23">
      <c r="A23" t="inlineStr">
        <is>
          <t>EMP1022</t>
        </is>
      </c>
      <c r="B23" t="inlineStr">
        <is>
          <t>Employee 022</t>
        </is>
      </c>
      <c r="C23" t="inlineStr">
        <is>
          <t>Operations</t>
        </is>
      </c>
      <c r="D23" t="inlineStr">
        <is>
          <t>Operations Manager</t>
        </is>
      </c>
      <c r="E23" t="inlineStr">
        <is>
          <t>Rahul Menon</t>
        </is>
      </c>
      <c r="F23" t="n">
        <v>1</v>
      </c>
      <c r="G23" t="n">
        <v>95</v>
      </c>
      <c r="H23" t="n">
        <v>64</v>
      </c>
      <c r="I23" t="n">
        <v>183</v>
      </c>
      <c r="J23" t="n">
        <v>116</v>
      </c>
      <c r="K23" t="n">
        <v>7</v>
      </c>
      <c r="L23" t="inlineStr">
        <is>
          <t>Needs close supervision</t>
        </is>
      </c>
      <c r="M23" s="2" t="n">
        <v>45901</v>
      </c>
      <c r="N23" s="3">
        <f>IFERROR(J23/I23,0)</f>
        <v/>
      </c>
      <c r="O23" s="3">
        <f>IFERROR(H23/G23,0)</f>
        <v/>
      </c>
      <c r="P23">
        <f>IF(K23&lt;10,"Low",IF(K23&lt;=20,"Medium","High"))</f>
        <v/>
      </c>
      <c r="Q23">
        <f>IF(AND(F23&gt;=4,N23&gt;=80%),"Star Performer",IF(F23&gt;=3,"Meets Expectations","Needs Improvement"))</f>
        <v/>
      </c>
      <c r="R23">
        <f>IF(O23&gt;=90%,"High Productivity",IF(O23&gt;=60%,"Medium Productivity","Low Productivity"))</f>
        <v/>
      </c>
      <c r="S23">
        <f>ROUND((F23/5)*50+N23*25+O23*25,1)</f>
        <v/>
      </c>
    </row>
    <row r="24">
      <c r="A24" t="inlineStr">
        <is>
          <t>EMP1023</t>
        </is>
      </c>
      <c r="B24" t="inlineStr">
        <is>
          <t>Employee 023</t>
        </is>
      </c>
      <c r="C24" t="inlineStr">
        <is>
          <t>Finance</t>
        </is>
      </c>
      <c r="D24" t="inlineStr">
        <is>
          <t>Financial Analyst</t>
        </is>
      </c>
      <c r="E24" t="inlineStr">
        <is>
          <t>Rahul Menon</t>
        </is>
      </c>
      <c r="F24" t="n">
        <v>3</v>
      </c>
      <c r="G24" t="n">
        <v>100</v>
      </c>
      <c r="H24" t="n">
        <v>94</v>
      </c>
      <c r="I24" t="n">
        <v>212</v>
      </c>
      <c r="J24" t="n">
        <v>111</v>
      </c>
      <c r="K24" t="n">
        <v>10</v>
      </c>
      <c r="L24" t="inlineStr">
        <is>
          <t>Meets expectations</t>
        </is>
      </c>
      <c r="M24" s="2" t="n">
        <v>45870</v>
      </c>
      <c r="N24" s="3">
        <f>IFERROR(J24/I24,0)</f>
        <v/>
      </c>
      <c r="O24" s="3">
        <f>IFERROR(H24/G24,0)</f>
        <v/>
      </c>
      <c r="P24">
        <f>IF(K24&lt;10,"Low",IF(K24&lt;=20,"Medium","High"))</f>
        <v/>
      </c>
      <c r="Q24">
        <f>IF(AND(F24&gt;=4,N24&gt;=80%),"Star Performer",IF(F24&gt;=3,"Meets Expectations","Needs Improvement"))</f>
        <v/>
      </c>
      <c r="R24">
        <f>IF(O24&gt;=90%,"High Productivity",IF(O24&gt;=60%,"Medium Productivity","Low Productivity"))</f>
        <v/>
      </c>
      <c r="S24">
        <f>ROUND((F24/5)*50+N24*25+O24*25,1)</f>
        <v/>
      </c>
    </row>
    <row r="25">
      <c r="A25" t="inlineStr">
        <is>
          <t>EMP1024</t>
        </is>
      </c>
      <c r="B25" t="inlineStr">
        <is>
          <t>Employee 024</t>
        </is>
      </c>
      <c r="C25" t="inlineStr">
        <is>
          <t>Finance</t>
        </is>
      </c>
      <c r="D25" t="inlineStr">
        <is>
          <t>Accountant</t>
        </is>
      </c>
      <c r="E25" t="inlineStr">
        <is>
          <t>Karthik Rao</t>
        </is>
      </c>
      <c r="F25" t="n">
        <v>2</v>
      </c>
      <c r="G25" t="n">
        <v>45</v>
      </c>
      <c r="H25" t="n">
        <v>45</v>
      </c>
      <c r="I25" t="n">
        <v>203</v>
      </c>
      <c r="J25" t="n">
        <v>134</v>
      </c>
      <c r="K25" t="n">
        <v>13</v>
      </c>
      <c r="L25" t="inlineStr">
        <is>
          <t>Needs additional guidance</t>
        </is>
      </c>
      <c r="M25" s="2" t="n">
        <v>45992</v>
      </c>
      <c r="N25" s="3">
        <f>IFERROR(J25/I25,0)</f>
        <v/>
      </c>
      <c r="O25" s="3">
        <f>IFERROR(H25/G25,0)</f>
        <v/>
      </c>
      <c r="P25">
        <f>IF(K25&lt;10,"Low",IF(K25&lt;=20,"Medium","High"))</f>
        <v/>
      </c>
      <c r="Q25">
        <f>IF(AND(F25&gt;=4,N25&gt;=80%),"Star Performer",IF(F25&gt;=3,"Meets Expectations","Needs Improvement"))</f>
        <v/>
      </c>
      <c r="R25">
        <f>IF(O25&gt;=90%,"High Productivity",IF(O25&gt;=60%,"Medium Productivity","Low Productivity"))</f>
        <v/>
      </c>
      <c r="S25">
        <f>ROUND((F25/5)*50+N25*25+O25*25,1)</f>
        <v/>
      </c>
    </row>
    <row r="26">
      <c r="A26" t="inlineStr">
        <is>
          <t>EMP1025</t>
        </is>
      </c>
      <c r="B26" t="inlineStr">
        <is>
          <t>Employee 025</t>
        </is>
      </c>
      <c r="C26" t="inlineStr">
        <is>
          <t>HR</t>
        </is>
      </c>
      <c r="D26" t="inlineStr">
        <is>
          <t>HR Executive</t>
        </is>
      </c>
      <c r="E26" t="inlineStr">
        <is>
          <t>Karthik Rao</t>
        </is>
      </c>
      <c r="F26" t="n">
        <v>4</v>
      </c>
      <c r="G26" t="n">
        <v>52</v>
      </c>
      <c r="H26" t="n">
        <v>60</v>
      </c>
      <c r="I26" t="n">
        <v>214</v>
      </c>
      <c r="J26" t="n">
        <v>170</v>
      </c>
      <c r="K26" t="n">
        <v>34</v>
      </c>
      <c r="L26" t="inlineStr">
        <is>
          <t>Strong contributor</t>
        </is>
      </c>
      <c r="M26" s="2" t="n">
        <v>45901</v>
      </c>
      <c r="N26" s="3">
        <f>IFERROR(J26/I26,0)</f>
        <v/>
      </c>
      <c r="O26" s="3">
        <f>IFERROR(H26/G26,0)</f>
        <v/>
      </c>
      <c r="P26">
        <f>IF(K26&lt;10,"Low",IF(K26&lt;=20,"Medium","High"))</f>
        <v/>
      </c>
      <c r="Q26">
        <f>IF(AND(F26&gt;=4,N26&gt;=80%),"Star Performer",IF(F26&gt;=3,"Meets Expectations","Needs Improvement"))</f>
        <v/>
      </c>
      <c r="R26">
        <f>IF(O26&gt;=90%,"High Productivity",IF(O26&gt;=60%,"Medium Productivity","Low Productivity"))</f>
        <v/>
      </c>
      <c r="S26">
        <f>ROUND((F26/5)*50+N26*25+O26*25,1)</f>
        <v/>
      </c>
    </row>
    <row r="27">
      <c r="A27" t="inlineStr">
        <is>
          <t>EMP1026</t>
        </is>
      </c>
      <c r="B27" t="inlineStr">
        <is>
          <t>Employee 026</t>
        </is>
      </c>
      <c r="C27" t="inlineStr">
        <is>
          <t>Sales</t>
        </is>
      </c>
      <c r="D27" t="inlineStr">
        <is>
          <t>Business Development Executive</t>
        </is>
      </c>
      <c r="E27" t="inlineStr">
        <is>
          <t>Arun Kumar</t>
        </is>
      </c>
      <c r="F27" t="n">
        <v>4</v>
      </c>
      <c r="G27" t="n">
        <v>105</v>
      </c>
      <c r="H27" t="n">
        <v>63</v>
      </c>
      <c r="I27" t="n">
        <v>197</v>
      </c>
      <c r="J27" t="n">
        <v>151</v>
      </c>
      <c r="K27" t="n">
        <v>28</v>
      </c>
      <c r="L27" t="inlineStr">
        <is>
          <t>Strong contributor</t>
        </is>
      </c>
      <c r="M27" s="2" t="n">
        <v>45748</v>
      </c>
      <c r="N27" s="3">
        <f>IFERROR(J27/I27,0)</f>
        <v/>
      </c>
      <c r="O27" s="3">
        <f>IFERROR(H27/G27,0)</f>
        <v/>
      </c>
      <c r="P27">
        <f>IF(K27&lt;10,"Low",IF(K27&lt;=20,"Medium","High"))</f>
        <v/>
      </c>
      <c r="Q27">
        <f>IF(AND(F27&gt;=4,N27&gt;=80%),"Star Performer",IF(F27&gt;=3,"Meets Expectations","Needs Improvement"))</f>
        <v/>
      </c>
      <c r="R27">
        <f>IF(O27&gt;=90%,"High Productivity",IF(O27&gt;=60%,"Medium Productivity","Low Productivity"))</f>
        <v/>
      </c>
      <c r="S27">
        <f>ROUND((F27/5)*50+N27*25+O27*25,1)</f>
        <v/>
      </c>
    </row>
    <row r="28">
      <c r="A28" t="inlineStr">
        <is>
          <t>EMP1027</t>
        </is>
      </c>
      <c r="B28" t="inlineStr">
        <is>
          <t>Employee 027</t>
        </is>
      </c>
      <c r="C28" t="inlineStr">
        <is>
          <t>Operations</t>
        </is>
      </c>
      <c r="D28" t="inlineStr">
        <is>
          <t>Operations Executive</t>
        </is>
      </c>
      <c r="E28" t="inlineStr">
        <is>
          <t>Meena Joseph</t>
        </is>
      </c>
      <c r="F28" t="n">
        <v>3</v>
      </c>
      <c r="G28" t="n">
        <v>92</v>
      </c>
      <c r="H28" t="n">
        <v>84</v>
      </c>
      <c r="I28" t="n">
        <v>149</v>
      </c>
      <c r="J28" t="n">
        <v>120</v>
      </c>
      <c r="K28" t="n">
        <v>23</v>
      </c>
      <c r="L28" t="inlineStr">
        <is>
          <t>Meets expectations</t>
        </is>
      </c>
      <c r="M28" s="2" t="n">
        <v>45658</v>
      </c>
      <c r="N28" s="3">
        <f>IFERROR(J28/I28,0)</f>
        <v/>
      </c>
      <c r="O28" s="3">
        <f>IFERROR(H28/G28,0)</f>
        <v/>
      </c>
      <c r="P28">
        <f>IF(K28&lt;10,"Low",IF(K28&lt;=20,"Medium","High"))</f>
        <v/>
      </c>
      <c r="Q28">
        <f>IF(AND(F28&gt;=4,N28&gt;=80%),"Star Performer",IF(F28&gt;=3,"Meets Expectations","Needs Improvement"))</f>
        <v/>
      </c>
      <c r="R28">
        <f>IF(O28&gt;=90%,"High Productivity",IF(O28&gt;=60%,"Medium Productivity","Low Productivity"))</f>
        <v/>
      </c>
      <c r="S28">
        <f>ROUND((F28/5)*50+N28*25+O28*25,1)</f>
        <v/>
      </c>
    </row>
    <row r="29">
      <c r="A29" t="inlineStr">
        <is>
          <t>EMP1028</t>
        </is>
      </c>
      <c r="B29" t="inlineStr">
        <is>
          <t>Employee 028</t>
        </is>
      </c>
      <c r="C29" t="inlineStr">
        <is>
          <t>Marketing</t>
        </is>
      </c>
      <c r="D29" t="inlineStr">
        <is>
          <t>Brand Executive</t>
        </is>
      </c>
      <c r="E29" t="inlineStr">
        <is>
          <t>Meena Joseph</t>
        </is>
      </c>
      <c r="F29" t="n">
        <v>1</v>
      </c>
      <c r="G29" t="n">
        <v>48</v>
      </c>
      <c r="H29" t="n">
        <v>20</v>
      </c>
      <c r="I29" t="n">
        <v>215</v>
      </c>
      <c r="J29" t="n">
        <v>133</v>
      </c>
      <c r="K29" t="n">
        <v>21</v>
      </c>
      <c r="L29" t="inlineStr">
        <is>
          <t>Needs close supervision</t>
        </is>
      </c>
      <c r="M29" s="2" t="n">
        <v>45962</v>
      </c>
      <c r="N29" s="3">
        <f>IFERROR(J29/I29,0)</f>
        <v/>
      </c>
      <c r="O29" s="3">
        <f>IFERROR(H29/G29,0)</f>
        <v/>
      </c>
      <c r="P29">
        <f>IF(K29&lt;10,"Low",IF(K29&lt;=20,"Medium","High"))</f>
        <v/>
      </c>
      <c r="Q29">
        <f>IF(AND(F29&gt;=4,N29&gt;=80%),"Star Performer",IF(F29&gt;=3,"Meets Expectations","Needs Improvement"))</f>
        <v/>
      </c>
      <c r="R29">
        <f>IF(O29&gt;=90%,"High Productivity",IF(O29&gt;=60%,"Medium Productivity","Low Productivity"))</f>
        <v/>
      </c>
      <c r="S29">
        <f>ROUND((F29/5)*50+N29*25+O29*25,1)</f>
        <v/>
      </c>
    </row>
    <row r="30">
      <c r="A30" t="inlineStr">
        <is>
          <t>EMP1029</t>
        </is>
      </c>
      <c r="B30" t="inlineStr">
        <is>
          <t>Employee 029</t>
        </is>
      </c>
      <c r="C30" t="inlineStr">
        <is>
          <t>Sales</t>
        </is>
      </c>
      <c r="D30" t="inlineStr">
        <is>
          <t>Sales Manager</t>
        </is>
      </c>
      <c r="E30" t="inlineStr">
        <is>
          <t>Priya Sharma</t>
        </is>
      </c>
      <c r="F30" t="n">
        <v>4</v>
      </c>
      <c r="G30" t="n">
        <v>54</v>
      </c>
      <c r="H30" t="n">
        <v>43</v>
      </c>
      <c r="I30" t="n">
        <v>190</v>
      </c>
      <c r="J30" t="n">
        <v>138</v>
      </c>
      <c r="K30" t="n">
        <v>0</v>
      </c>
      <c r="L30" t="inlineStr">
        <is>
          <t>Strong contributor</t>
        </is>
      </c>
      <c r="M30" s="2" t="n">
        <v>45901</v>
      </c>
      <c r="N30" s="3">
        <f>IFERROR(J30/I30,0)</f>
        <v/>
      </c>
      <c r="O30" s="3">
        <f>IFERROR(H30/G30,0)</f>
        <v/>
      </c>
      <c r="P30">
        <f>IF(K30&lt;10,"Low",IF(K30&lt;=20,"Medium","High"))</f>
        <v/>
      </c>
      <c r="Q30">
        <f>IF(AND(F30&gt;=4,N30&gt;=80%),"Star Performer",IF(F30&gt;=3,"Meets Expectations","Needs Improvement"))</f>
        <v/>
      </c>
      <c r="R30">
        <f>IF(O30&gt;=90%,"High Productivity",IF(O30&gt;=60%,"Medium Productivity","Low Productivity"))</f>
        <v/>
      </c>
      <c r="S30">
        <f>ROUND((F30/5)*50+N30*25+O30*25,1)</f>
        <v/>
      </c>
    </row>
    <row r="31">
      <c r="A31" t="inlineStr">
        <is>
          <t>EMP1030</t>
        </is>
      </c>
      <c r="B31" t="inlineStr">
        <is>
          <t>Employee 030</t>
        </is>
      </c>
      <c r="C31" t="inlineStr">
        <is>
          <t>Customer Support</t>
        </is>
      </c>
      <c r="D31" t="inlineStr">
        <is>
          <t>Support Executive</t>
        </is>
      </c>
      <c r="E31" t="inlineStr">
        <is>
          <t>Arun Kumar</t>
        </is>
      </c>
      <c r="F31" t="n">
        <v>3</v>
      </c>
      <c r="G31" t="n">
        <v>41</v>
      </c>
      <c r="H31" t="n">
        <v>38</v>
      </c>
      <c r="I31" t="n">
        <v>193</v>
      </c>
      <c r="J31" t="n">
        <v>132</v>
      </c>
      <c r="K31" t="n">
        <v>6</v>
      </c>
      <c r="L31" t="inlineStr">
        <is>
          <t>Meets expectations</t>
        </is>
      </c>
      <c r="M31" s="2" t="n">
        <v>45717</v>
      </c>
      <c r="N31" s="3">
        <f>IFERROR(J31/I31,0)</f>
        <v/>
      </c>
      <c r="O31" s="3">
        <f>IFERROR(H31/G31,0)</f>
        <v/>
      </c>
      <c r="P31">
        <f>IF(K31&lt;10,"Low",IF(K31&lt;=20,"Medium","High"))</f>
        <v/>
      </c>
      <c r="Q31">
        <f>IF(AND(F31&gt;=4,N31&gt;=80%),"Star Performer",IF(F31&gt;=3,"Meets Expectations","Needs Improvement"))</f>
        <v/>
      </c>
      <c r="R31">
        <f>IF(O31&gt;=90%,"High Productivity",IF(O31&gt;=60%,"Medium Productivity","Low Productivity"))</f>
        <v/>
      </c>
      <c r="S31">
        <f>ROUND((F31/5)*50+N31*25+O31*25,1)</f>
        <v/>
      </c>
    </row>
    <row r="32">
      <c r="A32" t="inlineStr">
        <is>
          <t>EMP1031</t>
        </is>
      </c>
      <c r="B32" t="inlineStr">
        <is>
          <t>Employee 031</t>
        </is>
      </c>
      <c r="C32" t="inlineStr">
        <is>
          <t>Finance</t>
        </is>
      </c>
      <c r="D32" t="inlineStr">
        <is>
          <t>Financial Analyst</t>
        </is>
      </c>
      <c r="E32" t="inlineStr">
        <is>
          <t>Karthik Rao</t>
        </is>
      </c>
      <c r="F32" t="n">
        <v>1</v>
      </c>
      <c r="G32" t="n">
        <v>120</v>
      </c>
      <c r="H32" t="n">
        <v>102</v>
      </c>
      <c r="I32" t="n">
        <v>157</v>
      </c>
      <c r="J32" t="n">
        <v>80</v>
      </c>
      <c r="K32" t="n">
        <v>1</v>
      </c>
      <c r="L32" t="inlineStr">
        <is>
          <t>Needs close supervision</t>
        </is>
      </c>
      <c r="M32" s="2" t="n">
        <v>45962</v>
      </c>
      <c r="N32" s="3">
        <f>IFERROR(J32/I32,0)</f>
        <v/>
      </c>
      <c r="O32" s="3">
        <f>IFERROR(H32/G32,0)</f>
        <v/>
      </c>
      <c r="P32">
        <f>IF(K32&lt;10,"Low",IF(K32&lt;=20,"Medium","High"))</f>
        <v/>
      </c>
      <c r="Q32">
        <f>IF(AND(F32&gt;=4,N32&gt;=80%),"Star Performer",IF(F32&gt;=3,"Meets Expectations","Needs Improvement"))</f>
        <v/>
      </c>
      <c r="R32">
        <f>IF(O32&gt;=90%,"High Productivity",IF(O32&gt;=60%,"Medium Productivity","Low Productivity"))</f>
        <v/>
      </c>
      <c r="S32">
        <f>ROUND((F32/5)*50+N32*25+O32*25,1)</f>
        <v/>
      </c>
    </row>
    <row r="33">
      <c r="A33" t="inlineStr">
        <is>
          <t>EMP1032</t>
        </is>
      </c>
      <c r="B33" t="inlineStr">
        <is>
          <t>Employee 032</t>
        </is>
      </c>
      <c r="C33" t="inlineStr">
        <is>
          <t>Marketing</t>
        </is>
      </c>
      <c r="D33" t="inlineStr">
        <is>
          <t>Marketing Executive</t>
        </is>
      </c>
      <c r="E33" t="inlineStr">
        <is>
          <t>Arun Kumar</t>
        </is>
      </c>
      <c r="F33" t="n">
        <v>3</v>
      </c>
      <c r="G33" t="n">
        <v>39</v>
      </c>
      <c r="H33" t="n">
        <v>43</v>
      </c>
      <c r="I33" t="n">
        <v>154</v>
      </c>
      <c r="J33" t="n">
        <v>94</v>
      </c>
      <c r="K33" t="n">
        <v>15</v>
      </c>
      <c r="L33" t="inlineStr">
        <is>
          <t>Meets expectations</t>
        </is>
      </c>
      <c r="M33" s="2" t="n">
        <v>45748</v>
      </c>
      <c r="N33" s="3">
        <f>IFERROR(J33/I33,0)</f>
        <v/>
      </c>
      <c r="O33" s="3">
        <f>IFERROR(H33/G33,0)</f>
        <v/>
      </c>
      <c r="P33">
        <f>IF(K33&lt;10,"Low",IF(K33&lt;=20,"Medium","High"))</f>
        <v/>
      </c>
      <c r="Q33">
        <f>IF(AND(F33&gt;=4,N33&gt;=80%),"Star Performer",IF(F33&gt;=3,"Meets Expectations","Needs Improvement"))</f>
        <v/>
      </c>
      <c r="R33">
        <f>IF(O33&gt;=90%,"High Productivity",IF(O33&gt;=60%,"Medium Productivity","Low Productivity"))</f>
        <v/>
      </c>
      <c r="S33">
        <f>ROUND((F33/5)*50+N33*25+O33*25,1)</f>
        <v/>
      </c>
    </row>
    <row r="34">
      <c r="A34" t="inlineStr">
        <is>
          <t>EMP1033</t>
        </is>
      </c>
      <c r="B34" t="inlineStr">
        <is>
          <t>Employee 033</t>
        </is>
      </c>
      <c r="C34" t="inlineStr">
        <is>
          <t>Sales</t>
        </is>
      </c>
      <c r="D34" t="inlineStr">
        <is>
          <t>Business Development Executive</t>
        </is>
      </c>
      <c r="E34" t="inlineStr">
        <is>
          <t>Divya Iyer</t>
        </is>
      </c>
      <c r="F34" t="n">
        <v>3</v>
      </c>
      <c r="G34" t="n">
        <v>62</v>
      </c>
      <c r="H34" t="n">
        <v>35</v>
      </c>
      <c r="I34" t="n">
        <v>160</v>
      </c>
      <c r="J34" t="n">
        <v>141</v>
      </c>
      <c r="K34" t="n">
        <v>18</v>
      </c>
      <c r="L34" t="inlineStr">
        <is>
          <t>Meets expectations</t>
        </is>
      </c>
      <c r="M34" s="2" t="n">
        <v>45931</v>
      </c>
      <c r="N34" s="3">
        <f>IFERROR(J34/I34,0)</f>
        <v/>
      </c>
      <c r="O34" s="3">
        <f>IFERROR(H34/G34,0)</f>
        <v/>
      </c>
      <c r="P34">
        <f>IF(K34&lt;10,"Low",IF(K34&lt;=20,"Medium","High"))</f>
        <v/>
      </c>
      <c r="Q34">
        <f>IF(AND(F34&gt;=4,N34&gt;=80%),"Star Performer",IF(F34&gt;=3,"Meets Expectations","Needs Improvement"))</f>
        <v/>
      </c>
      <c r="R34">
        <f>IF(O34&gt;=90%,"High Productivity",IF(O34&gt;=60%,"Medium Productivity","Low Productivity"))</f>
        <v/>
      </c>
      <c r="S34">
        <f>ROUND((F34/5)*50+N34*25+O34*25,1)</f>
        <v/>
      </c>
    </row>
    <row r="35">
      <c r="A35" t="inlineStr">
        <is>
          <t>EMP1034</t>
        </is>
      </c>
      <c r="B35" t="inlineStr">
        <is>
          <t>Employee 034</t>
        </is>
      </c>
      <c r="C35" t="inlineStr">
        <is>
          <t>IT</t>
        </is>
      </c>
      <c r="D35" t="inlineStr">
        <is>
          <t>Data Analyst</t>
        </is>
      </c>
      <c r="E35" t="inlineStr">
        <is>
          <t>Arun Kumar</t>
        </is>
      </c>
      <c r="F35" t="n">
        <v>2</v>
      </c>
      <c r="G35" t="n">
        <v>97</v>
      </c>
      <c r="H35" t="n">
        <v>79</v>
      </c>
      <c r="I35" t="n">
        <v>179</v>
      </c>
      <c r="J35" t="n">
        <v>132</v>
      </c>
      <c r="K35" t="n">
        <v>3</v>
      </c>
      <c r="L35" t="inlineStr">
        <is>
          <t>Needs additional guidance</t>
        </is>
      </c>
      <c r="M35" s="2" t="n">
        <v>45778</v>
      </c>
      <c r="N35" s="3">
        <f>IFERROR(J35/I35,0)</f>
        <v/>
      </c>
      <c r="O35" s="3">
        <f>IFERROR(H35/G35,0)</f>
        <v/>
      </c>
      <c r="P35">
        <f>IF(K35&lt;10,"Low",IF(K35&lt;=20,"Medium","High"))</f>
        <v/>
      </c>
      <c r="Q35">
        <f>IF(AND(F35&gt;=4,N35&gt;=80%),"Star Performer",IF(F35&gt;=3,"Meets Expectations","Needs Improvement"))</f>
        <v/>
      </c>
      <c r="R35">
        <f>IF(O35&gt;=90%,"High Productivity",IF(O35&gt;=60%,"Medium Productivity","Low Productivity"))</f>
        <v/>
      </c>
      <c r="S35">
        <f>ROUND((F35/5)*50+N35*25+O35*25,1)</f>
        <v/>
      </c>
    </row>
    <row r="36">
      <c r="A36" t="inlineStr">
        <is>
          <t>EMP1035</t>
        </is>
      </c>
      <c r="B36" t="inlineStr">
        <is>
          <t>Employee 035</t>
        </is>
      </c>
      <c r="C36" t="inlineStr">
        <is>
          <t>HR</t>
        </is>
      </c>
      <c r="D36" t="inlineStr">
        <is>
          <t>HR Executive</t>
        </is>
      </c>
      <c r="E36" t="inlineStr">
        <is>
          <t>Divya Iyer</t>
        </is>
      </c>
      <c r="F36" t="n">
        <v>2</v>
      </c>
      <c r="G36" t="n">
        <v>55</v>
      </c>
      <c r="H36" t="n">
        <v>47</v>
      </c>
      <c r="I36" t="n">
        <v>175</v>
      </c>
      <c r="J36" t="n">
        <v>116</v>
      </c>
      <c r="K36" t="n">
        <v>27</v>
      </c>
      <c r="L36" t="inlineStr">
        <is>
          <t>Needs additional guidance</t>
        </is>
      </c>
      <c r="M36" s="2" t="n">
        <v>45689</v>
      </c>
      <c r="N36" s="3">
        <f>IFERROR(J36/I36,0)</f>
        <v/>
      </c>
      <c r="O36" s="3">
        <f>IFERROR(H36/G36,0)</f>
        <v/>
      </c>
      <c r="P36">
        <f>IF(K36&lt;10,"Low",IF(K36&lt;=20,"Medium","High"))</f>
        <v/>
      </c>
      <c r="Q36">
        <f>IF(AND(F36&gt;=4,N36&gt;=80%),"Star Performer",IF(F36&gt;=3,"Meets Expectations","Needs Improvement"))</f>
        <v/>
      </c>
      <c r="R36">
        <f>IF(O36&gt;=90%,"High Productivity",IF(O36&gt;=60%,"Medium Productivity","Low Productivity"))</f>
        <v/>
      </c>
      <c r="S36">
        <f>ROUND((F36/5)*50+N36*25+O36*25,1)</f>
        <v/>
      </c>
    </row>
    <row r="37">
      <c r="A37" t="inlineStr">
        <is>
          <t>EMP1036</t>
        </is>
      </c>
      <c r="B37" t="inlineStr">
        <is>
          <t>Employee 036</t>
        </is>
      </c>
      <c r="C37" t="inlineStr">
        <is>
          <t>Marketing</t>
        </is>
      </c>
      <c r="D37" t="inlineStr">
        <is>
          <t>Digital Marketing Analyst</t>
        </is>
      </c>
      <c r="E37" t="inlineStr">
        <is>
          <t>Karthik Rao</t>
        </is>
      </c>
      <c r="F37" t="n">
        <v>1</v>
      </c>
      <c r="G37" t="n">
        <v>89</v>
      </c>
      <c r="H37" t="n">
        <v>52</v>
      </c>
      <c r="I37" t="n">
        <v>201</v>
      </c>
      <c r="J37" t="n">
        <v>121</v>
      </c>
      <c r="K37" t="n">
        <v>11</v>
      </c>
      <c r="L37" t="inlineStr">
        <is>
          <t>Needs close supervision</t>
        </is>
      </c>
      <c r="M37" s="2" t="n">
        <v>45962</v>
      </c>
      <c r="N37" s="3">
        <f>IFERROR(J37/I37,0)</f>
        <v/>
      </c>
      <c r="O37" s="3">
        <f>IFERROR(H37/G37,0)</f>
        <v/>
      </c>
      <c r="P37">
        <f>IF(K37&lt;10,"Low",IF(K37&lt;=20,"Medium","High"))</f>
        <v/>
      </c>
      <c r="Q37">
        <f>IF(AND(F37&gt;=4,N37&gt;=80%),"Star Performer",IF(F37&gt;=3,"Meets Expectations","Needs Improvement"))</f>
        <v/>
      </c>
      <c r="R37">
        <f>IF(O37&gt;=90%,"High Productivity",IF(O37&gt;=60%,"Medium Productivity","Low Productivity"))</f>
        <v/>
      </c>
      <c r="S37">
        <f>ROUND((F37/5)*50+N37*25+O37*25,1)</f>
        <v/>
      </c>
    </row>
    <row r="38">
      <c r="A38" t="inlineStr">
        <is>
          <t>EMP1037</t>
        </is>
      </c>
      <c r="B38" t="inlineStr">
        <is>
          <t>Employee 037</t>
        </is>
      </c>
      <c r="C38" t="inlineStr">
        <is>
          <t>IT</t>
        </is>
      </c>
      <c r="D38" t="inlineStr">
        <is>
          <t>QA Analyst</t>
        </is>
      </c>
      <c r="E38" t="inlineStr">
        <is>
          <t>Arun Kumar</t>
        </is>
      </c>
      <c r="F38" t="n">
        <v>1</v>
      </c>
      <c r="G38" t="n">
        <v>70</v>
      </c>
      <c r="H38" t="n">
        <v>46</v>
      </c>
      <c r="I38" t="n">
        <v>146</v>
      </c>
      <c r="J38" t="n">
        <v>83</v>
      </c>
      <c r="K38" t="n">
        <v>10</v>
      </c>
      <c r="L38" t="inlineStr">
        <is>
          <t>Needs close supervision</t>
        </is>
      </c>
      <c r="M38" s="2" t="n">
        <v>45931</v>
      </c>
      <c r="N38" s="3">
        <f>IFERROR(J38/I38,0)</f>
        <v/>
      </c>
      <c r="O38" s="3">
        <f>IFERROR(H38/G38,0)</f>
        <v/>
      </c>
      <c r="P38">
        <f>IF(K38&lt;10,"Low",IF(K38&lt;=20,"Medium","High"))</f>
        <v/>
      </c>
      <c r="Q38">
        <f>IF(AND(F38&gt;=4,N38&gt;=80%),"Star Performer",IF(F38&gt;=3,"Meets Expectations","Needs Improvement"))</f>
        <v/>
      </c>
      <c r="R38">
        <f>IF(O38&gt;=90%,"High Productivity",IF(O38&gt;=60%,"Medium Productivity","Low Productivity"))</f>
        <v/>
      </c>
      <c r="S38">
        <f>ROUND((F38/5)*50+N38*25+O38*25,1)</f>
        <v/>
      </c>
    </row>
    <row r="39">
      <c r="A39" t="inlineStr">
        <is>
          <t>EMP1038</t>
        </is>
      </c>
      <c r="B39" t="inlineStr">
        <is>
          <t>Employee 038</t>
        </is>
      </c>
      <c r="C39" t="inlineStr">
        <is>
          <t>HR</t>
        </is>
      </c>
      <c r="D39" t="inlineStr">
        <is>
          <t>Recruiter</t>
        </is>
      </c>
      <c r="E39" t="inlineStr">
        <is>
          <t>Divya Iyer</t>
        </is>
      </c>
      <c r="F39" t="n">
        <v>3</v>
      </c>
      <c r="G39" t="n">
        <v>105</v>
      </c>
      <c r="H39" t="n">
        <v>108</v>
      </c>
      <c r="I39" t="n">
        <v>171</v>
      </c>
      <c r="J39" t="n">
        <v>109</v>
      </c>
      <c r="K39" t="n">
        <v>26</v>
      </c>
      <c r="L39" t="inlineStr">
        <is>
          <t>Meets expectations</t>
        </is>
      </c>
      <c r="M39" s="2" t="n">
        <v>45689</v>
      </c>
      <c r="N39" s="3">
        <f>IFERROR(J39/I39,0)</f>
        <v/>
      </c>
      <c r="O39" s="3">
        <f>IFERROR(H39/G39,0)</f>
        <v/>
      </c>
      <c r="P39">
        <f>IF(K39&lt;10,"Low",IF(K39&lt;=20,"Medium","High"))</f>
        <v/>
      </c>
      <c r="Q39">
        <f>IF(AND(F39&gt;=4,N39&gt;=80%),"Star Performer",IF(F39&gt;=3,"Meets Expectations","Needs Improvement"))</f>
        <v/>
      </c>
      <c r="R39">
        <f>IF(O39&gt;=90%,"High Productivity",IF(O39&gt;=60%,"Medium Productivity","Low Productivity"))</f>
        <v/>
      </c>
      <c r="S39">
        <f>ROUND((F39/5)*50+N39*25+O39*25,1)</f>
        <v/>
      </c>
    </row>
    <row r="40">
      <c r="A40" t="inlineStr">
        <is>
          <t>EMP1039</t>
        </is>
      </c>
      <c r="B40" t="inlineStr">
        <is>
          <t>Employee 039</t>
        </is>
      </c>
      <c r="C40" t="inlineStr">
        <is>
          <t>Finance</t>
        </is>
      </c>
      <c r="D40" t="inlineStr">
        <is>
          <t>Finance Executive</t>
        </is>
      </c>
      <c r="E40" t="inlineStr">
        <is>
          <t>Arun Kumar</t>
        </is>
      </c>
      <c r="F40" t="n">
        <v>4</v>
      </c>
      <c r="G40" t="n">
        <v>112</v>
      </c>
      <c r="H40" t="n">
        <v>114</v>
      </c>
      <c r="I40" t="n">
        <v>169</v>
      </c>
      <c r="J40" t="n">
        <v>83</v>
      </c>
      <c r="K40" t="n">
        <v>32</v>
      </c>
      <c r="L40" t="inlineStr">
        <is>
          <t>Strong contributor</t>
        </is>
      </c>
      <c r="M40" s="2" t="n">
        <v>45992</v>
      </c>
      <c r="N40" s="3">
        <f>IFERROR(J40/I40,0)</f>
        <v/>
      </c>
      <c r="O40" s="3">
        <f>IFERROR(H40/G40,0)</f>
        <v/>
      </c>
      <c r="P40">
        <f>IF(K40&lt;10,"Low",IF(K40&lt;=20,"Medium","High"))</f>
        <v/>
      </c>
      <c r="Q40">
        <f>IF(AND(F40&gt;=4,N40&gt;=80%),"Star Performer",IF(F40&gt;=3,"Meets Expectations","Needs Improvement"))</f>
        <v/>
      </c>
      <c r="R40">
        <f>IF(O40&gt;=90%,"High Productivity",IF(O40&gt;=60%,"Medium Productivity","Low Productivity"))</f>
        <v/>
      </c>
      <c r="S40">
        <f>ROUND((F40/5)*50+N40*25+O40*25,1)</f>
        <v/>
      </c>
    </row>
    <row r="41">
      <c r="A41" t="inlineStr">
        <is>
          <t>EMP1040</t>
        </is>
      </c>
      <c r="B41" t="inlineStr">
        <is>
          <t>Employee 040</t>
        </is>
      </c>
      <c r="C41" t="inlineStr">
        <is>
          <t>Sales</t>
        </is>
      </c>
      <c r="D41" t="inlineStr">
        <is>
          <t>Business Development Executive</t>
        </is>
      </c>
      <c r="E41" t="inlineStr">
        <is>
          <t>Priya Sharma</t>
        </is>
      </c>
      <c r="F41" t="n">
        <v>4</v>
      </c>
      <c r="G41" t="n">
        <v>106</v>
      </c>
      <c r="H41" t="n">
        <v>91</v>
      </c>
      <c r="I41" t="n">
        <v>167</v>
      </c>
      <c r="J41" t="n">
        <v>85</v>
      </c>
      <c r="K41" t="n">
        <v>10</v>
      </c>
      <c r="L41" t="inlineStr">
        <is>
          <t>Strong contributor</t>
        </is>
      </c>
      <c r="M41" s="2" t="n">
        <v>45748</v>
      </c>
      <c r="N41" s="3">
        <f>IFERROR(J41/I41,0)</f>
        <v/>
      </c>
      <c r="O41" s="3">
        <f>IFERROR(H41/G41,0)</f>
        <v/>
      </c>
      <c r="P41">
        <f>IF(K41&lt;10,"Low",IF(K41&lt;=20,"Medium","High"))</f>
        <v/>
      </c>
      <c r="Q41">
        <f>IF(AND(F41&gt;=4,N41&gt;=80%),"Star Performer",IF(F41&gt;=3,"Meets Expectations","Needs Improvement"))</f>
        <v/>
      </c>
      <c r="R41">
        <f>IF(O41&gt;=90%,"High Productivity",IF(O41&gt;=60%,"Medium Productivity","Low Productivity"))</f>
        <v/>
      </c>
      <c r="S41">
        <f>ROUND((F41/5)*50+N41*25+O41*25,1)</f>
        <v/>
      </c>
    </row>
    <row r="42">
      <c r="A42" t="inlineStr">
        <is>
          <t>EMP1041</t>
        </is>
      </c>
      <c r="B42" t="inlineStr">
        <is>
          <t>Employee 041</t>
        </is>
      </c>
      <c r="C42" t="inlineStr">
        <is>
          <t>Marketing</t>
        </is>
      </c>
      <c r="D42" t="inlineStr">
        <is>
          <t>Digital Marketing Analyst</t>
        </is>
      </c>
      <c r="E42" t="inlineStr">
        <is>
          <t>Priya Sharma</t>
        </is>
      </c>
      <c r="F42" t="n">
        <v>3</v>
      </c>
      <c r="G42" t="n">
        <v>88</v>
      </c>
      <c r="H42" t="n">
        <v>76</v>
      </c>
      <c r="I42" t="n">
        <v>187</v>
      </c>
      <c r="J42" t="n">
        <v>150</v>
      </c>
      <c r="K42" t="n">
        <v>8</v>
      </c>
      <c r="L42" t="inlineStr">
        <is>
          <t>Meets expectations</t>
        </is>
      </c>
      <c r="M42" s="2" t="n">
        <v>45658</v>
      </c>
      <c r="N42" s="3">
        <f>IFERROR(J42/I42,0)</f>
        <v/>
      </c>
      <c r="O42" s="3">
        <f>IFERROR(H42/G42,0)</f>
        <v/>
      </c>
      <c r="P42">
        <f>IF(K42&lt;10,"Low",IF(K42&lt;=20,"Medium","High"))</f>
        <v/>
      </c>
      <c r="Q42">
        <f>IF(AND(F42&gt;=4,N42&gt;=80%),"Star Performer",IF(F42&gt;=3,"Meets Expectations","Needs Improvement"))</f>
        <v/>
      </c>
      <c r="R42">
        <f>IF(O42&gt;=90%,"High Productivity",IF(O42&gt;=60%,"Medium Productivity","Low Productivity"))</f>
        <v/>
      </c>
      <c r="S42">
        <f>ROUND((F42/5)*50+N42*25+O42*25,1)</f>
        <v/>
      </c>
    </row>
    <row r="43">
      <c r="A43" t="inlineStr">
        <is>
          <t>EMP1042</t>
        </is>
      </c>
      <c r="B43" t="inlineStr">
        <is>
          <t>Employee 042</t>
        </is>
      </c>
      <c r="C43" t="inlineStr">
        <is>
          <t>IT</t>
        </is>
      </c>
      <c r="D43" t="inlineStr">
        <is>
          <t>Software Engineer</t>
        </is>
      </c>
      <c r="E43" t="inlineStr">
        <is>
          <t>Karthik Rao</t>
        </is>
      </c>
      <c r="F43" t="n">
        <v>2</v>
      </c>
      <c r="G43" t="n">
        <v>63</v>
      </c>
      <c r="H43" t="n">
        <v>44</v>
      </c>
      <c r="I43" t="n">
        <v>225</v>
      </c>
      <c r="J43" t="n">
        <v>142</v>
      </c>
      <c r="K43" t="n">
        <v>24</v>
      </c>
      <c r="L43" t="inlineStr">
        <is>
          <t>Needs additional guidance</t>
        </is>
      </c>
      <c r="M43" s="2" t="n">
        <v>45809</v>
      </c>
      <c r="N43" s="3">
        <f>IFERROR(J43/I43,0)</f>
        <v/>
      </c>
      <c r="O43" s="3">
        <f>IFERROR(H43/G43,0)</f>
        <v/>
      </c>
      <c r="P43">
        <f>IF(K43&lt;10,"Low",IF(K43&lt;=20,"Medium","High"))</f>
        <v/>
      </c>
      <c r="Q43">
        <f>IF(AND(F43&gt;=4,N43&gt;=80%),"Star Performer",IF(F43&gt;=3,"Meets Expectations","Needs Improvement"))</f>
        <v/>
      </c>
      <c r="R43">
        <f>IF(O43&gt;=90%,"High Productivity",IF(O43&gt;=60%,"Medium Productivity","Low Productivity"))</f>
        <v/>
      </c>
      <c r="S43">
        <f>ROUND((F43/5)*50+N43*25+O43*25,1)</f>
        <v/>
      </c>
    </row>
    <row r="44">
      <c r="A44" t="inlineStr">
        <is>
          <t>EMP1043</t>
        </is>
      </c>
      <c r="B44" t="inlineStr">
        <is>
          <t>Employee 043</t>
        </is>
      </c>
      <c r="C44" t="inlineStr">
        <is>
          <t>HR</t>
        </is>
      </c>
      <c r="D44" t="inlineStr">
        <is>
          <t>Recruiter</t>
        </is>
      </c>
      <c r="E44" t="inlineStr">
        <is>
          <t>Priya Sharma</t>
        </is>
      </c>
      <c r="F44" t="n">
        <v>4</v>
      </c>
      <c r="G44" t="n">
        <v>98</v>
      </c>
      <c r="H44" t="n">
        <v>98</v>
      </c>
      <c r="I44" t="n">
        <v>172</v>
      </c>
      <c r="J44" t="n">
        <v>134</v>
      </c>
      <c r="K44" t="n">
        <v>11</v>
      </c>
      <c r="L44" t="inlineStr">
        <is>
          <t>Strong contributor</t>
        </is>
      </c>
      <c r="M44" s="2" t="n">
        <v>45689</v>
      </c>
      <c r="N44" s="3">
        <f>IFERROR(J44/I44,0)</f>
        <v/>
      </c>
      <c r="O44" s="3">
        <f>IFERROR(H44/G44,0)</f>
        <v/>
      </c>
      <c r="P44">
        <f>IF(K44&lt;10,"Low",IF(K44&lt;=20,"Medium","High"))</f>
        <v/>
      </c>
      <c r="Q44">
        <f>IF(AND(F44&gt;=4,N44&gt;=80%),"Star Performer",IF(F44&gt;=3,"Meets Expectations","Needs Improvement"))</f>
        <v/>
      </c>
      <c r="R44">
        <f>IF(O44&gt;=90%,"High Productivity",IF(O44&gt;=60%,"Medium Productivity","Low Productivity"))</f>
        <v/>
      </c>
      <c r="S44">
        <f>ROUND((F44/5)*50+N44*25+O44*25,1)</f>
        <v/>
      </c>
    </row>
    <row r="45">
      <c r="A45" t="inlineStr">
        <is>
          <t>EMP1044</t>
        </is>
      </c>
      <c r="B45" t="inlineStr">
        <is>
          <t>Employee 044</t>
        </is>
      </c>
      <c r="C45" t="inlineStr">
        <is>
          <t>Marketing</t>
        </is>
      </c>
      <c r="D45" t="inlineStr">
        <is>
          <t>Digital Marketing Analyst</t>
        </is>
      </c>
      <c r="E45" t="inlineStr">
        <is>
          <t>Arun Kumar</t>
        </is>
      </c>
      <c r="F45" t="n">
        <v>3</v>
      </c>
      <c r="G45" t="n">
        <v>45</v>
      </c>
      <c r="H45" t="n">
        <v>40</v>
      </c>
      <c r="I45" t="n">
        <v>218</v>
      </c>
      <c r="J45" t="n">
        <v>176</v>
      </c>
      <c r="K45" t="n">
        <v>24</v>
      </c>
      <c r="L45" t="inlineStr">
        <is>
          <t>Meets expectations</t>
        </is>
      </c>
      <c r="M45" s="2" t="n">
        <v>45839</v>
      </c>
      <c r="N45" s="3">
        <f>IFERROR(J45/I45,0)</f>
        <v/>
      </c>
      <c r="O45" s="3">
        <f>IFERROR(H45/G45,0)</f>
        <v/>
      </c>
      <c r="P45">
        <f>IF(K45&lt;10,"Low",IF(K45&lt;=20,"Medium","High"))</f>
        <v/>
      </c>
      <c r="Q45">
        <f>IF(AND(F45&gt;=4,N45&gt;=80%),"Star Performer",IF(F45&gt;=3,"Meets Expectations","Needs Improvement"))</f>
        <v/>
      </c>
      <c r="R45">
        <f>IF(O45&gt;=90%,"High Productivity",IF(O45&gt;=60%,"Medium Productivity","Low Productivity"))</f>
        <v/>
      </c>
      <c r="S45">
        <f>ROUND((F45/5)*50+N45*25+O45*25,1)</f>
        <v/>
      </c>
    </row>
    <row r="46">
      <c r="A46" t="inlineStr">
        <is>
          <t>EMP1045</t>
        </is>
      </c>
      <c r="B46" t="inlineStr">
        <is>
          <t>Employee 045</t>
        </is>
      </c>
      <c r="C46" t="inlineStr">
        <is>
          <t>Finance</t>
        </is>
      </c>
      <c r="D46" t="inlineStr">
        <is>
          <t>Accountant</t>
        </is>
      </c>
      <c r="E46" t="inlineStr">
        <is>
          <t>Divya Iyer</t>
        </is>
      </c>
      <c r="F46" t="n">
        <v>4</v>
      </c>
      <c r="G46" t="n">
        <v>57</v>
      </c>
      <c r="H46" t="n">
        <v>48</v>
      </c>
      <c r="I46" t="n">
        <v>186</v>
      </c>
      <c r="J46" t="n">
        <v>138</v>
      </c>
      <c r="K46" t="n">
        <v>11</v>
      </c>
      <c r="L46" t="inlineStr">
        <is>
          <t>Strong contributor</t>
        </is>
      </c>
      <c r="M46" s="2" t="n">
        <v>45901</v>
      </c>
      <c r="N46" s="3">
        <f>IFERROR(J46/I46,0)</f>
        <v/>
      </c>
      <c r="O46" s="3">
        <f>IFERROR(H46/G46,0)</f>
        <v/>
      </c>
      <c r="P46">
        <f>IF(K46&lt;10,"Low",IF(K46&lt;=20,"Medium","High"))</f>
        <v/>
      </c>
      <c r="Q46">
        <f>IF(AND(F46&gt;=4,N46&gt;=80%),"Star Performer",IF(F46&gt;=3,"Meets Expectations","Needs Improvement"))</f>
        <v/>
      </c>
      <c r="R46">
        <f>IF(O46&gt;=90%,"High Productivity",IF(O46&gt;=60%,"Medium Productivity","Low Productivity"))</f>
        <v/>
      </c>
      <c r="S46">
        <f>ROUND((F46/5)*50+N46*25+O46*25,1)</f>
        <v/>
      </c>
    </row>
    <row r="47">
      <c r="A47" t="inlineStr">
        <is>
          <t>EMP1046</t>
        </is>
      </c>
      <c r="B47" t="inlineStr">
        <is>
          <t>Employee 046</t>
        </is>
      </c>
      <c r="C47" t="inlineStr">
        <is>
          <t>Operations</t>
        </is>
      </c>
      <c r="D47" t="inlineStr">
        <is>
          <t>Operations Executive</t>
        </is>
      </c>
      <c r="E47" t="inlineStr">
        <is>
          <t>Arun Kumar</t>
        </is>
      </c>
      <c r="F47" t="n">
        <v>4</v>
      </c>
      <c r="G47" t="n">
        <v>55</v>
      </c>
      <c r="H47" t="n">
        <v>58</v>
      </c>
      <c r="I47" t="n">
        <v>202</v>
      </c>
      <c r="J47" t="n">
        <v>154</v>
      </c>
      <c r="K47" t="n">
        <v>13</v>
      </c>
      <c r="L47" t="inlineStr">
        <is>
          <t>Strong contributor</t>
        </is>
      </c>
      <c r="M47" s="2" t="n">
        <v>45778</v>
      </c>
      <c r="N47" s="3">
        <f>IFERROR(J47/I47,0)</f>
        <v/>
      </c>
      <c r="O47" s="3">
        <f>IFERROR(H47/G47,0)</f>
        <v/>
      </c>
      <c r="P47">
        <f>IF(K47&lt;10,"Low",IF(K47&lt;=20,"Medium","High"))</f>
        <v/>
      </c>
      <c r="Q47">
        <f>IF(AND(F47&gt;=4,N47&gt;=80%),"Star Performer",IF(F47&gt;=3,"Meets Expectations","Needs Improvement"))</f>
        <v/>
      </c>
      <c r="R47">
        <f>IF(O47&gt;=90%,"High Productivity",IF(O47&gt;=60%,"Medium Productivity","Low Productivity"))</f>
        <v/>
      </c>
      <c r="S47">
        <f>ROUND((F47/5)*50+N47*25+O47*25,1)</f>
        <v/>
      </c>
    </row>
    <row r="48">
      <c r="A48" t="inlineStr">
        <is>
          <t>EMP1047</t>
        </is>
      </c>
      <c r="B48" t="inlineStr">
        <is>
          <t>Employee 047</t>
        </is>
      </c>
      <c r="C48" t="inlineStr">
        <is>
          <t>Finance</t>
        </is>
      </c>
      <c r="D48" t="inlineStr">
        <is>
          <t>Finance Executive</t>
        </is>
      </c>
      <c r="E48" t="inlineStr">
        <is>
          <t>Rahul Menon</t>
        </is>
      </c>
      <c r="F48" t="n">
        <v>2</v>
      </c>
      <c r="G48" t="n">
        <v>116</v>
      </c>
      <c r="H48" t="n">
        <v>71</v>
      </c>
      <c r="I48" t="n">
        <v>222</v>
      </c>
      <c r="J48" t="n">
        <v>118</v>
      </c>
      <c r="K48" t="n">
        <v>11</v>
      </c>
      <c r="L48" t="inlineStr">
        <is>
          <t>Needs additional guidance</t>
        </is>
      </c>
      <c r="M48" s="2" t="n">
        <v>45717</v>
      </c>
      <c r="N48" s="3">
        <f>IFERROR(J48/I48,0)</f>
        <v/>
      </c>
      <c r="O48" s="3">
        <f>IFERROR(H48/G48,0)</f>
        <v/>
      </c>
      <c r="P48">
        <f>IF(K48&lt;10,"Low",IF(K48&lt;=20,"Medium","High"))</f>
        <v/>
      </c>
      <c r="Q48">
        <f>IF(AND(F48&gt;=4,N48&gt;=80%),"Star Performer",IF(F48&gt;=3,"Meets Expectations","Needs Improvement"))</f>
        <v/>
      </c>
      <c r="R48">
        <f>IF(O48&gt;=90%,"High Productivity",IF(O48&gt;=60%,"Medium Productivity","Low Productivity"))</f>
        <v/>
      </c>
      <c r="S48">
        <f>ROUND((F48/5)*50+N48*25+O48*25,1)</f>
        <v/>
      </c>
    </row>
    <row r="49">
      <c r="A49" t="inlineStr">
        <is>
          <t>EMP1048</t>
        </is>
      </c>
      <c r="B49" t="inlineStr">
        <is>
          <t>Employee 048</t>
        </is>
      </c>
      <c r="C49" t="inlineStr">
        <is>
          <t>Sales</t>
        </is>
      </c>
      <c r="D49" t="inlineStr">
        <is>
          <t>Sales Manager</t>
        </is>
      </c>
      <c r="E49" t="inlineStr">
        <is>
          <t>Karthik Rao</t>
        </is>
      </c>
      <c r="F49" t="n">
        <v>4</v>
      </c>
      <c r="G49" t="n">
        <v>51</v>
      </c>
      <c r="H49" t="n">
        <v>42</v>
      </c>
      <c r="I49" t="n">
        <v>212</v>
      </c>
      <c r="J49" t="n">
        <v>156</v>
      </c>
      <c r="K49" t="n">
        <v>10</v>
      </c>
      <c r="L49" t="inlineStr">
        <is>
          <t>Strong contributor</t>
        </is>
      </c>
      <c r="M49" s="2" t="n">
        <v>45658</v>
      </c>
      <c r="N49" s="3">
        <f>IFERROR(J49/I49,0)</f>
        <v/>
      </c>
      <c r="O49" s="3">
        <f>IFERROR(H49/G49,0)</f>
        <v/>
      </c>
      <c r="P49">
        <f>IF(K49&lt;10,"Low",IF(K49&lt;=20,"Medium","High"))</f>
        <v/>
      </c>
      <c r="Q49">
        <f>IF(AND(F49&gt;=4,N49&gt;=80%),"Star Performer",IF(F49&gt;=3,"Meets Expectations","Needs Improvement"))</f>
        <v/>
      </c>
      <c r="R49">
        <f>IF(O49&gt;=90%,"High Productivity",IF(O49&gt;=60%,"Medium Productivity","Low Productivity"))</f>
        <v/>
      </c>
      <c r="S49">
        <f>ROUND((F49/5)*50+N49*25+O49*25,1)</f>
        <v/>
      </c>
    </row>
    <row r="50">
      <c r="A50" t="inlineStr">
        <is>
          <t>EMP1049</t>
        </is>
      </c>
      <c r="B50" t="inlineStr">
        <is>
          <t>Employee 049</t>
        </is>
      </c>
      <c r="C50" t="inlineStr">
        <is>
          <t>Finance</t>
        </is>
      </c>
      <c r="D50" t="inlineStr">
        <is>
          <t>Financial Analyst</t>
        </is>
      </c>
      <c r="E50" t="inlineStr">
        <is>
          <t>Rahul Menon</t>
        </is>
      </c>
      <c r="F50" t="n">
        <v>4</v>
      </c>
      <c r="G50" t="n">
        <v>49</v>
      </c>
      <c r="H50" t="n">
        <v>51</v>
      </c>
      <c r="I50" t="n">
        <v>145</v>
      </c>
      <c r="J50" t="n">
        <v>105</v>
      </c>
      <c r="K50" t="n">
        <v>19</v>
      </c>
      <c r="L50" t="inlineStr">
        <is>
          <t>Strong contributor</t>
        </is>
      </c>
      <c r="M50" s="2" t="n">
        <v>45809</v>
      </c>
      <c r="N50" s="3">
        <f>IFERROR(J50/I50,0)</f>
        <v/>
      </c>
      <c r="O50" s="3">
        <f>IFERROR(H50/G50,0)</f>
        <v/>
      </c>
      <c r="P50">
        <f>IF(K50&lt;10,"Low",IF(K50&lt;=20,"Medium","High"))</f>
        <v/>
      </c>
      <c r="Q50">
        <f>IF(AND(F50&gt;=4,N50&gt;=80%),"Star Performer",IF(F50&gt;=3,"Meets Expectations","Needs Improvement"))</f>
        <v/>
      </c>
      <c r="R50">
        <f>IF(O50&gt;=90%,"High Productivity",IF(O50&gt;=60%,"Medium Productivity","Low Productivity"))</f>
        <v/>
      </c>
      <c r="S50">
        <f>ROUND((F50/5)*50+N50*25+O50*25,1)</f>
        <v/>
      </c>
    </row>
    <row r="51">
      <c r="A51" t="inlineStr">
        <is>
          <t>EMP1050</t>
        </is>
      </c>
      <c r="B51" t="inlineStr">
        <is>
          <t>Employee 050</t>
        </is>
      </c>
      <c r="C51" t="inlineStr">
        <is>
          <t>Marketing</t>
        </is>
      </c>
      <c r="D51" t="inlineStr">
        <is>
          <t>Digital Marketing Analyst</t>
        </is>
      </c>
      <c r="E51" t="inlineStr">
        <is>
          <t>Arun Kumar</t>
        </is>
      </c>
      <c r="F51" t="n">
        <v>2</v>
      </c>
      <c r="G51" t="n">
        <v>75</v>
      </c>
      <c r="H51" t="n">
        <v>63</v>
      </c>
      <c r="I51" t="n">
        <v>170</v>
      </c>
      <c r="J51" t="n">
        <v>128</v>
      </c>
      <c r="K51" t="n">
        <v>20</v>
      </c>
      <c r="L51" t="inlineStr">
        <is>
          <t>Needs additional guidance</t>
        </is>
      </c>
      <c r="M51" s="2" t="n">
        <v>45839</v>
      </c>
      <c r="N51" s="3">
        <f>IFERROR(J51/I51,0)</f>
        <v/>
      </c>
      <c r="O51" s="3">
        <f>IFERROR(H51/G51,0)</f>
        <v/>
      </c>
      <c r="P51">
        <f>IF(K51&lt;10,"Low",IF(K51&lt;=20,"Medium","High"))</f>
        <v/>
      </c>
      <c r="Q51">
        <f>IF(AND(F51&gt;=4,N51&gt;=80%),"Star Performer",IF(F51&gt;=3,"Meets Expectations","Needs Improvement"))</f>
        <v/>
      </c>
      <c r="R51">
        <f>IF(O51&gt;=90%,"High Productivity",IF(O51&gt;=60%,"Medium Productivity","Low Productivity"))</f>
        <v/>
      </c>
      <c r="S51">
        <f>ROUND((F51/5)*50+N51*25+O51*25,1)</f>
        <v/>
      </c>
    </row>
    <row r="52">
      <c r="A52" t="inlineStr">
        <is>
          <t>EMP1051</t>
        </is>
      </c>
      <c r="B52" t="inlineStr">
        <is>
          <t>Employee 051</t>
        </is>
      </c>
      <c r="C52" t="inlineStr">
        <is>
          <t>IT</t>
        </is>
      </c>
      <c r="D52" t="inlineStr">
        <is>
          <t>Data Analyst</t>
        </is>
      </c>
      <c r="E52" t="inlineStr">
        <is>
          <t>Priya Sharma</t>
        </is>
      </c>
      <c r="F52" t="n">
        <v>2</v>
      </c>
      <c r="G52" t="n">
        <v>91</v>
      </c>
      <c r="H52" t="n">
        <v>84</v>
      </c>
      <c r="I52" t="n">
        <v>215</v>
      </c>
      <c r="J52" t="n">
        <v>134</v>
      </c>
      <c r="K52" t="n">
        <v>20</v>
      </c>
      <c r="L52" t="inlineStr">
        <is>
          <t>Needs additional guidance</t>
        </is>
      </c>
      <c r="M52" s="2" t="n">
        <v>45962</v>
      </c>
      <c r="N52" s="3">
        <f>IFERROR(J52/I52,0)</f>
        <v/>
      </c>
      <c r="O52" s="3">
        <f>IFERROR(H52/G52,0)</f>
        <v/>
      </c>
      <c r="P52">
        <f>IF(K52&lt;10,"Low",IF(K52&lt;=20,"Medium","High"))</f>
        <v/>
      </c>
      <c r="Q52">
        <f>IF(AND(F52&gt;=4,N52&gt;=80%),"Star Performer",IF(F52&gt;=3,"Meets Expectations","Needs Improvement"))</f>
        <v/>
      </c>
      <c r="R52">
        <f>IF(O52&gt;=90%,"High Productivity",IF(O52&gt;=60%,"Medium Productivity","Low Productivity"))</f>
        <v/>
      </c>
      <c r="S52">
        <f>ROUND((F52/5)*50+N52*25+O52*25,1)</f>
        <v/>
      </c>
    </row>
    <row r="53">
      <c r="A53" t="inlineStr">
        <is>
          <t>EMP1052</t>
        </is>
      </c>
      <c r="B53" t="inlineStr">
        <is>
          <t>Employee 052</t>
        </is>
      </c>
      <c r="C53" t="inlineStr">
        <is>
          <t>Sales</t>
        </is>
      </c>
      <c r="D53" t="inlineStr">
        <is>
          <t>Sales Manager</t>
        </is>
      </c>
      <c r="E53" t="inlineStr">
        <is>
          <t>Priya Sharma</t>
        </is>
      </c>
      <c r="F53" t="n">
        <v>4</v>
      </c>
      <c r="G53" t="n">
        <v>72</v>
      </c>
      <c r="H53" t="n">
        <v>80</v>
      </c>
      <c r="I53" t="n">
        <v>209</v>
      </c>
      <c r="J53" t="n">
        <v>136</v>
      </c>
      <c r="K53" t="n">
        <v>36</v>
      </c>
      <c r="L53" t="inlineStr">
        <is>
          <t>Strong contributor</t>
        </is>
      </c>
      <c r="M53" s="2" t="n">
        <v>45778</v>
      </c>
      <c r="N53" s="3">
        <f>IFERROR(J53/I53,0)</f>
        <v/>
      </c>
      <c r="O53" s="3">
        <f>IFERROR(H53/G53,0)</f>
        <v/>
      </c>
      <c r="P53">
        <f>IF(K53&lt;10,"Low",IF(K53&lt;=20,"Medium","High"))</f>
        <v/>
      </c>
      <c r="Q53">
        <f>IF(AND(F53&gt;=4,N53&gt;=80%),"Star Performer",IF(F53&gt;=3,"Meets Expectations","Needs Improvement"))</f>
        <v/>
      </c>
      <c r="R53">
        <f>IF(O53&gt;=90%,"High Productivity",IF(O53&gt;=60%,"Medium Productivity","Low Productivity"))</f>
        <v/>
      </c>
      <c r="S53">
        <f>ROUND((F53/5)*50+N53*25+O53*25,1)</f>
        <v/>
      </c>
    </row>
    <row r="54">
      <c r="A54" t="inlineStr">
        <is>
          <t>EMP1053</t>
        </is>
      </c>
      <c r="B54" t="inlineStr">
        <is>
          <t>Employee 053</t>
        </is>
      </c>
      <c r="C54" t="inlineStr">
        <is>
          <t>Operations</t>
        </is>
      </c>
      <c r="D54" t="inlineStr">
        <is>
          <t>Operations Manager</t>
        </is>
      </c>
      <c r="E54" t="inlineStr">
        <is>
          <t>Arun Kumar</t>
        </is>
      </c>
      <c r="F54" t="n">
        <v>5</v>
      </c>
      <c r="G54" t="n">
        <v>63</v>
      </c>
      <c r="H54" t="n">
        <v>70</v>
      </c>
      <c r="I54" t="n">
        <v>206</v>
      </c>
      <c r="J54" t="n">
        <v>151</v>
      </c>
      <c r="K54" t="n">
        <v>11</v>
      </c>
      <c r="L54" t="inlineStr">
        <is>
          <t>Exceptional performer</t>
        </is>
      </c>
      <c r="M54" s="2" t="n">
        <v>45901</v>
      </c>
      <c r="N54" s="3">
        <f>IFERROR(J54/I54,0)</f>
        <v/>
      </c>
      <c r="O54" s="3">
        <f>IFERROR(H54/G54,0)</f>
        <v/>
      </c>
      <c r="P54">
        <f>IF(K54&lt;10,"Low",IF(K54&lt;=20,"Medium","High"))</f>
        <v/>
      </c>
      <c r="Q54">
        <f>IF(AND(F54&gt;=4,N54&gt;=80%),"Star Performer",IF(F54&gt;=3,"Meets Expectations","Needs Improvement"))</f>
        <v/>
      </c>
      <c r="R54">
        <f>IF(O54&gt;=90%,"High Productivity",IF(O54&gt;=60%,"Medium Productivity","Low Productivity"))</f>
        <v/>
      </c>
      <c r="S54">
        <f>ROUND((F54/5)*50+N54*25+O54*25,1)</f>
        <v/>
      </c>
    </row>
    <row r="55">
      <c r="A55" t="inlineStr">
        <is>
          <t>EMP1054</t>
        </is>
      </c>
      <c r="B55" t="inlineStr">
        <is>
          <t>Employee 054</t>
        </is>
      </c>
      <c r="C55" t="inlineStr">
        <is>
          <t>Sales</t>
        </is>
      </c>
      <c r="D55" t="inlineStr">
        <is>
          <t>Sales Executive</t>
        </is>
      </c>
      <c r="E55" t="inlineStr">
        <is>
          <t>Divya Iyer</t>
        </is>
      </c>
      <c r="F55" t="n">
        <v>4</v>
      </c>
      <c r="G55" t="n">
        <v>98</v>
      </c>
      <c r="H55" t="n">
        <v>64</v>
      </c>
      <c r="I55" t="n">
        <v>182</v>
      </c>
      <c r="J55" t="n">
        <v>144</v>
      </c>
      <c r="K55" t="n">
        <v>26</v>
      </c>
      <c r="L55" t="inlineStr">
        <is>
          <t>Strong contributor</t>
        </is>
      </c>
      <c r="M55" s="2" t="n">
        <v>45962</v>
      </c>
      <c r="N55" s="3">
        <f>IFERROR(J55/I55,0)</f>
        <v/>
      </c>
      <c r="O55" s="3">
        <f>IFERROR(H55/G55,0)</f>
        <v/>
      </c>
      <c r="P55">
        <f>IF(K55&lt;10,"Low",IF(K55&lt;=20,"Medium","High"))</f>
        <v/>
      </c>
      <c r="Q55">
        <f>IF(AND(F55&gt;=4,N55&gt;=80%),"Star Performer",IF(F55&gt;=3,"Meets Expectations","Needs Improvement"))</f>
        <v/>
      </c>
      <c r="R55">
        <f>IF(O55&gt;=90%,"High Productivity",IF(O55&gt;=60%,"Medium Productivity","Low Productivity"))</f>
        <v/>
      </c>
      <c r="S55">
        <f>ROUND((F55/5)*50+N55*25+O55*25,1)</f>
        <v/>
      </c>
    </row>
    <row r="56">
      <c r="A56" t="inlineStr">
        <is>
          <t>EMP1055</t>
        </is>
      </c>
      <c r="B56" t="inlineStr">
        <is>
          <t>Employee 055</t>
        </is>
      </c>
      <c r="C56" t="inlineStr">
        <is>
          <t>IT</t>
        </is>
      </c>
      <c r="D56" t="inlineStr">
        <is>
          <t>Data Analyst</t>
        </is>
      </c>
      <c r="E56" t="inlineStr">
        <is>
          <t>Meena Joseph</t>
        </is>
      </c>
      <c r="F56" t="n">
        <v>5</v>
      </c>
      <c r="G56" t="n">
        <v>113</v>
      </c>
      <c r="H56" t="n">
        <v>124</v>
      </c>
      <c r="I56" t="n">
        <v>152</v>
      </c>
      <c r="J56" t="n">
        <v>110</v>
      </c>
      <c r="K56" t="n">
        <v>15</v>
      </c>
      <c r="L56" t="inlineStr">
        <is>
          <t>Exceptional performer</t>
        </is>
      </c>
      <c r="M56" s="2" t="n">
        <v>45748</v>
      </c>
      <c r="N56" s="3">
        <f>IFERROR(J56/I56,0)</f>
        <v/>
      </c>
      <c r="O56" s="3">
        <f>IFERROR(H56/G56,0)</f>
        <v/>
      </c>
      <c r="P56">
        <f>IF(K56&lt;10,"Low",IF(K56&lt;=20,"Medium","High"))</f>
        <v/>
      </c>
      <c r="Q56">
        <f>IF(AND(F56&gt;=4,N56&gt;=80%),"Star Performer",IF(F56&gt;=3,"Meets Expectations","Needs Improvement"))</f>
        <v/>
      </c>
      <c r="R56">
        <f>IF(O56&gt;=90%,"High Productivity",IF(O56&gt;=60%,"Medium Productivity","Low Productivity"))</f>
        <v/>
      </c>
      <c r="S56">
        <f>ROUND((F56/5)*50+N56*25+O56*25,1)</f>
        <v/>
      </c>
    </row>
    <row r="57">
      <c r="A57" t="inlineStr">
        <is>
          <t>EMP1056</t>
        </is>
      </c>
      <c r="B57" t="inlineStr">
        <is>
          <t>Employee 056</t>
        </is>
      </c>
      <c r="C57" t="inlineStr">
        <is>
          <t>Customer Support</t>
        </is>
      </c>
      <c r="D57" t="inlineStr">
        <is>
          <t>Customer Success Associate</t>
        </is>
      </c>
      <c r="E57" t="inlineStr">
        <is>
          <t>Karthik Rao</t>
        </is>
      </c>
      <c r="F57" t="n">
        <v>2</v>
      </c>
      <c r="G57" t="n">
        <v>51</v>
      </c>
      <c r="H57" t="n">
        <v>33</v>
      </c>
      <c r="I57" t="n">
        <v>223</v>
      </c>
      <c r="J57" t="n">
        <v>147</v>
      </c>
      <c r="K57" t="n">
        <v>20</v>
      </c>
      <c r="L57" t="inlineStr">
        <is>
          <t>Needs additional guidance</t>
        </is>
      </c>
      <c r="M57" s="2" t="n">
        <v>45839</v>
      </c>
      <c r="N57" s="3">
        <f>IFERROR(J57/I57,0)</f>
        <v/>
      </c>
      <c r="O57" s="3">
        <f>IFERROR(H57/G57,0)</f>
        <v/>
      </c>
      <c r="P57">
        <f>IF(K57&lt;10,"Low",IF(K57&lt;=20,"Medium","High"))</f>
        <v/>
      </c>
      <c r="Q57">
        <f>IF(AND(F57&gt;=4,N57&gt;=80%),"Star Performer",IF(F57&gt;=3,"Meets Expectations","Needs Improvement"))</f>
        <v/>
      </c>
      <c r="R57">
        <f>IF(O57&gt;=90%,"High Productivity",IF(O57&gt;=60%,"Medium Productivity","Low Productivity"))</f>
        <v/>
      </c>
      <c r="S57">
        <f>ROUND((F57/5)*50+N57*25+O57*25,1)</f>
        <v/>
      </c>
    </row>
    <row r="58">
      <c r="A58" t="inlineStr">
        <is>
          <t>EMP1057</t>
        </is>
      </c>
      <c r="B58" t="inlineStr">
        <is>
          <t>Employee 057</t>
        </is>
      </c>
      <c r="C58" t="inlineStr">
        <is>
          <t>Operations</t>
        </is>
      </c>
      <c r="D58" t="inlineStr">
        <is>
          <t>Operations Executive</t>
        </is>
      </c>
      <c r="E58" t="inlineStr">
        <is>
          <t>Divya Iyer</t>
        </is>
      </c>
      <c r="F58" t="n">
        <v>3</v>
      </c>
      <c r="G58" t="n">
        <v>67</v>
      </c>
      <c r="H58" t="n">
        <v>55</v>
      </c>
      <c r="I58" t="n">
        <v>214</v>
      </c>
      <c r="J58" t="n">
        <v>203</v>
      </c>
      <c r="K58" t="n">
        <v>5</v>
      </c>
      <c r="L58" t="inlineStr">
        <is>
          <t>Meets expectations</t>
        </is>
      </c>
      <c r="M58" s="2" t="n">
        <v>45870</v>
      </c>
      <c r="N58" s="3">
        <f>IFERROR(J58/I58,0)</f>
        <v/>
      </c>
      <c r="O58" s="3">
        <f>IFERROR(H58/G58,0)</f>
        <v/>
      </c>
      <c r="P58">
        <f>IF(K58&lt;10,"Low",IF(K58&lt;=20,"Medium","High"))</f>
        <v/>
      </c>
      <c r="Q58">
        <f>IF(AND(F58&gt;=4,N58&gt;=80%),"Star Performer",IF(F58&gt;=3,"Meets Expectations","Needs Improvement"))</f>
        <v/>
      </c>
      <c r="R58">
        <f>IF(O58&gt;=90%,"High Productivity",IF(O58&gt;=60%,"Medium Productivity","Low Productivity"))</f>
        <v/>
      </c>
      <c r="S58">
        <f>ROUND((F58/5)*50+N58*25+O58*25,1)</f>
        <v/>
      </c>
    </row>
    <row r="59">
      <c r="A59" t="inlineStr">
        <is>
          <t>EMP1058</t>
        </is>
      </c>
      <c r="B59" t="inlineStr">
        <is>
          <t>Employee 058</t>
        </is>
      </c>
      <c r="C59" t="inlineStr">
        <is>
          <t>HR</t>
        </is>
      </c>
      <c r="D59" t="inlineStr">
        <is>
          <t>Recruiter</t>
        </is>
      </c>
      <c r="E59" t="inlineStr">
        <is>
          <t>Meena Joseph</t>
        </is>
      </c>
      <c r="F59" t="n">
        <v>3</v>
      </c>
      <c r="G59" t="n">
        <v>95</v>
      </c>
      <c r="H59" t="n">
        <v>102</v>
      </c>
      <c r="I59" t="n">
        <v>198</v>
      </c>
      <c r="J59" t="n">
        <v>167</v>
      </c>
      <c r="K59" t="n">
        <v>19</v>
      </c>
      <c r="L59" t="inlineStr">
        <is>
          <t>Meets expectations</t>
        </is>
      </c>
      <c r="M59" s="2" t="n">
        <v>45689</v>
      </c>
      <c r="N59" s="3">
        <f>IFERROR(J59/I59,0)</f>
        <v/>
      </c>
      <c r="O59" s="3">
        <f>IFERROR(H59/G59,0)</f>
        <v/>
      </c>
      <c r="P59">
        <f>IF(K59&lt;10,"Low",IF(K59&lt;=20,"Medium","High"))</f>
        <v/>
      </c>
      <c r="Q59">
        <f>IF(AND(F59&gt;=4,N59&gt;=80%),"Star Performer",IF(F59&gt;=3,"Meets Expectations","Needs Improvement"))</f>
        <v/>
      </c>
      <c r="R59">
        <f>IF(O59&gt;=90%,"High Productivity",IF(O59&gt;=60%,"Medium Productivity","Low Productivity"))</f>
        <v/>
      </c>
      <c r="S59">
        <f>ROUND((F59/5)*50+N59*25+O59*25,1)</f>
        <v/>
      </c>
    </row>
    <row r="60">
      <c r="A60" t="inlineStr">
        <is>
          <t>EMP1059</t>
        </is>
      </c>
      <c r="B60" t="inlineStr">
        <is>
          <t>Employee 059</t>
        </is>
      </c>
      <c r="C60" t="inlineStr">
        <is>
          <t>Customer Support</t>
        </is>
      </c>
      <c r="D60" t="inlineStr">
        <is>
          <t>Support Executive</t>
        </is>
      </c>
      <c r="E60" t="inlineStr">
        <is>
          <t>Priya Sharma</t>
        </is>
      </c>
      <c r="F60" t="n">
        <v>3</v>
      </c>
      <c r="G60" t="n">
        <v>98</v>
      </c>
      <c r="H60" t="n">
        <v>72</v>
      </c>
      <c r="I60" t="n">
        <v>191</v>
      </c>
      <c r="J60" t="n">
        <v>102</v>
      </c>
      <c r="K60" t="n">
        <v>16</v>
      </c>
      <c r="L60" t="inlineStr">
        <is>
          <t>Meets expectations</t>
        </is>
      </c>
      <c r="M60" s="2" t="n">
        <v>45870</v>
      </c>
      <c r="N60" s="3">
        <f>IFERROR(J60/I60,0)</f>
        <v/>
      </c>
      <c r="O60" s="3">
        <f>IFERROR(H60/G60,0)</f>
        <v/>
      </c>
      <c r="P60">
        <f>IF(K60&lt;10,"Low",IF(K60&lt;=20,"Medium","High"))</f>
        <v/>
      </c>
      <c r="Q60">
        <f>IF(AND(F60&gt;=4,N60&gt;=80%),"Star Performer",IF(F60&gt;=3,"Meets Expectations","Needs Improvement"))</f>
        <v/>
      </c>
      <c r="R60">
        <f>IF(O60&gt;=90%,"High Productivity",IF(O60&gt;=60%,"Medium Productivity","Low Productivity"))</f>
        <v/>
      </c>
      <c r="S60">
        <f>ROUND((F60/5)*50+N60*25+O60*25,1)</f>
        <v/>
      </c>
    </row>
    <row r="61">
      <c r="A61" t="inlineStr">
        <is>
          <t>EMP1060</t>
        </is>
      </c>
      <c r="B61" t="inlineStr">
        <is>
          <t>Employee 060</t>
        </is>
      </c>
      <c r="C61" t="inlineStr">
        <is>
          <t>Operations</t>
        </is>
      </c>
      <c r="D61" t="inlineStr">
        <is>
          <t>Operations Executive</t>
        </is>
      </c>
      <c r="E61" t="inlineStr">
        <is>
          <t>Meena Joseph</t>
        </is>
      </c>
      <c r="F61" t="n">
        <v>3</v>
      </c>
      <c r="G61" t="n">
        <v>46</v>
      </c>
      <c r="H61" t="n">
        <v>34</v>
      </c>
      <c r="I61" t="n">
        <v>163</v>
      </c>
      <c r="J61" t="n">
        <v>115</v>
      </c>
      <c r="K61" t="n">
        <v>20</v>
      </c>
      <c r="L61" t="inlineStr">
        <is>
          <t>Meets expectations</t>
        </is>
      </c>
      <c r="M61" s="2" t="n">
        <v>45839</v>
      </c>
      <c r="N61" s="3">
        <f>IFERROR(J61/I61,0)</f>
        <v/>
      </c>
      <c r="O61" s="3">
        <f>IFERROR(H61/G61,0)</f>
        <v/>
      </c>
      <c r="P61">
        <f>IF(K61&lt;10,"Low",IF(K61&lt;=20,"Medium","High"))</f>
        <v/>
      </c>
      <c r="Q61">
        <f>IF(AND(F61&gt;=4,N61&gt;=80%),"Star Performer",IF(F61&gt;=3,"Meets Expectations","Needs Improvement"))</f>
        <v/>
      </c>
      <c r="R61">
        <f>IF(O61&gt;=90%,"High Productivity",IF(O61&gt;=60%,"Medium Productivity","Low Productivity"))</f>
        <v/>
      </c>
      <c r="S61">
        <f>ROUND((F61/5)*50+N61*25+O61*25,1)</f>
        <v/>
      </c>
    </row>
    <row r="62">
      <c r="A62" t="inlineStr">
        <is>
          <t>EMP1061</t>
        </is>
      </c>
      <c r="B62" t="inlineStr">
        <is>
          <t>Employee 061</t>
        </is>
      </c>
      <c r="C62" t="inlineStr">
        <is>
          <t>Customer Support</t>
        </is>
      </c>
      <c r="D62" t="inlineStr">
        <is>
          <t>Customer Success Associate</t>
        </is>
      </c>
      <c r="E62" t="inlineStr">
        <is>
          <t>Divya Iyer</t>
        </is>
      </c>
      <c r="F62" t="n">
        <v>3</v>
      </c>
      <c r="G62" t="n">
        <v>82</v>
      </c>
      <c r="H62" t="n">
        <v>77</v>
      </c>
      <c r="I62" t="n">
        <v>173</v>
      </c>
      <c r="J62" t="n">
        <v>112</v>
      </c>
      <c r="K62" t="n">
        <v>22</v>
      </c>
      <c r="L62" t="inlineStr">
        <is>
          <t>Meets expectations</t>
        </is>
      </c>
      <c r="M62" s="2" t="n">
        <v>45809</v>
      </c>
      <c r="N62" s="3">
        <f>IFERROR(J62/I62,0)</f>
        <v/>
      </c>
      <c r="O62" s="3">
        <f>IFERROR(H62/G62,0)</f>
        <v/>
      </c>
      <c r="P62">
        <f>IF(K62&lt;10,"Low",IF(K62&lt;=20,"Medium","High"))</f>
        <v/>
      </c>
      <c r="Q62">
        <f>IF(AND(F62&gt;=4,N62&gt;=80%),"Star Performer",IF(F62&gt;=3,"Meets Expectations","Needs Improvement"))</f>
        <v/>
      </c>
      <c r="R62">
        <f>IF(O62&gt;=90%,"High Productivity",IF(O62&gt;=60%,"Medium Productivity","Low Productivity"))</f>
        <v/>
      </c>
      <c r="S62">
        <f>ROUND((F62/5)*50+N62*25+O62*25,1)</f>
        <v/>
      </c>
    </row>
    <row r="63">
      <c r="A63" t="inlineStr">
        <is>
          <t>EMP1062</t>
        </is>
      </c>
      <c r="B63" t="inlineStr">
        <is>
          <t>Employee 062</t>
        </is>
      </c>
      <c r="C63" t="inlineStr">
        <is>
          <t>HR</t>
        </is>
      </c>
      <c r="D63" t="inlineStr">
        <is>
          <t>HR Analyst</t>
        </is>
      </c>
      <c r="E63" t="inlineStr">
        <is>
          <t>Divya Iyer</t>
        </is>
      </c>
      <c r="F63" t="n">
        <v>5</v>
      </c>
      <c r="G63" t="n">
        <v>94</v>
      </c>
      <c r="H63" t="n">
        <v>95</v>
      </c>
      <c r="I63" t="n">
        <v>160</v>
      </c>
      <c r="J63" t="n">
        <v>108</v>
      </c>
      <c r="K63" t="n">
        <v>21</v>
      </c>
      <c r="L63" t="inlineStr">
        <is>
          <t>Exceptional performer</t>
        </is>
      </c>
      <c r="M63" s="2" t="n">
        <v>45992</v>
      </c>
      <c r="N63" s="3">
        <f>IFERROR(J63/I63,0)</f>
        <v/>
      </c>
      <c r="O63" s="3">
        <f>IFERROR(H63/G63,0)</f>
        <v/>
      </c>
      <c r="P63">
        <f>IF(K63&lt;10,"Low",IF(K63&lt;=20,"Medium","High"))</f>
        <v/>
      </c>
      <c r="Q63">
        <f>IF(AND(F63&gt;=4,N63&gt;=80%),"Star Performer",IF(F63&gt;=3,"Meets Expectations","Needs Improvement"))</f>
        <v/>
      </c>
      <c r="R63">
        <f>IF(O63&gt;=90%,"High Productivity",IF(O63&gt;=60%,"Medium Productivity","Low Productivity"))</f>
        <v/>
      </c>
      <c r="S63">
        <f>ROUND((F63/5)*50+N63*25+O63*25,1)</f>
        <v/>
      </c>
    </row>
    <row r="64">
      <c r="A64" t="inlineStr">
        <is>
          <t>EMP1063</t>
        </is>
      </c>
      <c r="B64" t="inlineStr">
        <is>
          <t>Employee 063</t>
        </is>
      </c>
      <c r="C64" t="inlineStr">
        <is>
          <t>Sales</t>
        </is>
      </c>
      <c r="D64" t="inlineStr">
        <is>
          <t>Sales Manager</t>
        </is>
      </c>
      <c r="E64" t="inlineStr">
        <is>
          <t>Arun Kumar</t>
        </is>
      </c>
      <c r="F64" t="n">
        <v>4</v>
      </c>
      <c r="G64" t="n">
        <v>48</v>
      </c>
      <c r="H64" t="n">
        <v>42</v>
      </c>
      <c r="I64" t="n">
        <v>226</v>
      </c>
      <c r="J64" t="n">
        <v>143</v>
      </c>
      <c r="K64" t="n">
        <v>12</v>
      </c>
      <c r="L64" t="inlineStr">
        <is>
          <t>Strong contributor</t>
        </is>
      </c>
      <c r="M64" s="2" t="n">
        <v>45809</v>
      </c>
      <c r="N64" s="3">
        <f>IFERROR(J64/I64,0)</f>
        <v/>
      </c>
      <c r="O64" s="3">
        <f>IFERROR(H64/G64,0)</f>
        <v/>
      </c>
      <c r="P64">
        <f>IF(K64&lt;10,"Low",IF(K64&lt;=20,"Medium","High"))</f>
        <v/>
      </c>
      <c r="Q64">
        <f>IF(AND(F64&gt;=4,N64&gt;=80%),"Star Performer",IF(F64&gt;=3,"Meets Expectations","Needs Improvement"))</f>
        <v/>
      </c>
      <c r="R64">
        <f>IF(O64&gt;=90%,"High Productivity",IF(O64&gt;=60%,"Medium Productivity","Low Productivity"))</f>
        <v/>
      </c>
      <c r="S64">
        <f>ROUND((F64/5)*50+N64*25+O64*25,1)</f>
        <v/>
      </c>
    </row>
    <row r="65">
      <c r="A65" t="inlineStr">
        <is>
          <t>EMP1064</t>
        </is>
      </c>
      <c r="B65" t="inlineStr">
        <is>
          <t>Employee 064</t>
        </is>
      </c>
      <c r="C65" t="inlineStr">
        <is>
          <t>HR</t>
        </is>
      </c>
      <c r="D65" t="inlineStr">
        <is>
          <t>HR Analyst</t>
        </is>
      </c>
      <c r="E65" t="inlineStr">
        <is>
          <t>Karthik Rao</t>
        </is>
      </c>
      <c r="F65" t="n">
        <v>5</v>
      </c>
      <c r="G65" t="n">
        <v>82</v>
      </c>
      <c r="H65" t="n">
        <v>58</v>
      </c>
      <c r="I65" t="n">
        <v>173</v>
      </c>
      <c r="J65" t="n">
        <v>104</v>
      </c>
      <c r="K65" t="n">
        <v>20</v>
      </c>
      <c r="L65" t="inlineStr">
        <is>
          <t>Exceptional performer</t>
        </is>
      </c>
      <c r="M65" s="2" t="n">
        <v>45870</v>
      </c>
      <c r="N65" s="3">
        <f>IFERROR(J65/I65,0)</f>
        <v/>
      </c>
      <c r="O65" s="3">
        <f>IFERROR(H65/G65,0)</f>
        <v/>
      </c>
      <c r="P65">
        <f>IF(K65&lt;10,"Low",IF(K65&lt;=20,"Medium","High"))</f>
        <v/>
      </c>
      <c r="Q65">
        <f>IF(AND(F65&gt;=4,N65&gt;=80%),"Star Performer",IF(F65&gt;=3,"Meets Expectations","Needs Improvement"))</f>
        <v/>
      </c>
      <c r="R65">
        <f>IF(O65&gt;=90%,"High Productivity",IF(O65&gt;=60%,"Medium Productivity","Low Productivity"))</f>
        <v/>
      </c>
      <c r="S65">
        <f>ROUND((F65/5)*50+N65*25+O65*25,1)</f>
        <v/>
      </c>
    </row>
    <row r="66">
      <c r="A66" t="inlineStr">
        <is>
          <t>EMP1065</t>
        </is>
      </c>
      <c r="B66" t="inlineStr">
        <is>
          <t>Employee 065</t>
        </is>
      </c>
      <c r="C66" t="inlineStr">
        <is>
          <t>Operations</t>
        </is>
      </c>
      <c r="D66" t="inlineStr">
        <is>
          <t>Operations Manager</t>
        </is>
      </c>
      <c r="E66" t="inlineStr">
        <is>
          <t>Priya Sharma</t>
        </is>
      </c>
      <c r="F66" t="n">
        <v>4</v>
      </c>
      <c r="G66" t="n">
        <v>99</v>
      </c>
      <c r="H66" t="n">
        <v>73</v>
      </c>
      <c r="I66" t="n">
        <v>148</v>
      </c>
      <c r="J66" t="n">
        <v>112</v>
      </c>
      <c r="K66" t="n">
        <v>11</v>
      </c>
      <c r="L66" t="inlineStr">
        <is>
          <t>Strong contributor</t>
        </is>
      </c>
      <c r="M66" s="2" t="n">
        <v>45748</v>
      </c>
      <c r="N66" s="3">
        <f>IFERROR(J66/I66,0)</f>
        <v/>
      </c>
      <c r="O66" s="3">
        <f>IFERROR(H66/G66,0)</f>
        <v/>
      </c>
      <c r="P66">
        <f>IF(K66&lt;10,"Low",IF(K66&lt;=20,"Medium","High"))</f>
        <v/>
      </c>
      <c r="Q66">
        <f>IF(AND(F66&gt;=4,N66&gt;=80%),"Star Performer",IF(F66&gt;=3,"Meets Expectations","Needs Improvement"))</f>
        <v/>
      </c>
      <c r="R66">
        <f>IF(O66&gt;=90%,"High Productivity",IF(O66&gt;=60%,"Medium Productivity","Low Productivity"))</f>
        <v/>
      </c>
      <c r="S66">
        <f>ROUND((F66/5)*50+N66*25+O66*25,1)</f>
        <v/>
      </c>
    </row>
    <row r="67">
      <c r="A67" t="inlineStr">
        <is>
          <t>EMP1066</t>
        </is>
      </c>
      <c r="B67" t="inlineStr">
        <is>
          <t>Employee 066</t>
        </is>
      </c>
      <c r="C67" t="inlineStr">
        <is>
          <t>IT</t>
        </is>
      </c>
      <c r="D67" t="inlineStr">
        <is>
          <t>Software Engineer</t>
        </is>
      </c>
      <c r="E67" t="inlineStr">
        <is>
          <t>Priya Sharma</t>
        </is>
      </c>
      <c r="F67" t="n">
        <v>4</v>
      </c>
      <c r="G67" t="n">
        <v>98</v>
      </c>
      <c r="H67" t="n">
        <v>89</v>
      </c>
      <c r="I67" t="n">
        <v>163</v>
      </c>
      <c r="J67" t="n">
        <v>111</v>
      </c>
      <c r="K67" t="n">
        <v>22</v>
      </c>
      <c r="L67" t="inlineStr">
        <is>
          <t>Strong contributor</t>
        </is>
      </c>
      <c r="M67" s="2" t="n">
        <v>45901</v>
      </c>
      <c r="N67" s="3">
        <f>IFERROR(J67/I67,0)</f>
        <v/>
      </c>
      <c r="O67" s="3">
        <f>IFERROR(H67/G67,0)</f>
        <v/>
      </c>
      <c r="P67">
        <f>IF(K67&lt;10,"Low",IF(K67&lt;=20,"Medium","High"))</f>
        <v/>
      </c>
      <c r="Q67">
        <f>IF(AND(F67&gt;=4,N67&gt;=80%),"Star Performer",IF(F67&gt;=3,"Meets Expectations","Needs Improvement"))</f>
        <v/>
      </c>
      <c r="R67">
        <f>IF(O67&gt;=90%,"High Productivity",IF(O67&gt;=60%,"Medium Productivity","Low Productivity"))</f>
        <v/>
      </c>
      <c r="S67">
        <f>ROUND((F67/5)*50+N67*25+O67*25,1)</f>
        <v/>
      </c>
    </row>
    <row r="68">
      <c r="A68" t="inlineStr">
        <is>
          <t>EMP1067</t>
        </is>
      </c>
      <c r="B68" t="inlineStr">
        <is>
          <t>Employee 067</t>
        </is>
      </c>
      <c r="C68" t="inlineStr">
        <is>
          <t>Operations</t>
        </is>
      </c>
      <c r="D68" t="inlineStr">
        <is>
          <t>Process Analyst</t>
        </is>
      </c>
      <c r="E68" t="inlineStr">
        <is>
          <t>Rahul Menon</t>
        </is>
      </c>
      <c r="F68" t="n">
        <v>2</v>
      </c>
      <c r="G68" t="n">
        <v>69</v>
      </c>
      <c r="H68" t="n">
        <v>58</v>
      </c>
      <c r="I68" t="n">
        <v>165</v>
      </c>
      <c r="J68" t="n">
        <v>101</v>
      </c>
      <c r="K68" t="n">
        <v>24</v>
      </c>
      <c r="L68" t="inlineStr">
        <is>
          <t>Needs additional guidance</t>
        </is>
      </c>
      <c r="M68" s="2" t="n">
        <v>45809</v>
      </c>
      <c r="N68" s="3">
        <f>IFERROR(J68/I68,0)</f>
        <v/>
      </c>
      <c r="O68" s="3">
        <f>IFERROR(H68/G68,0)</f>
        <v/>
      </c>
      <c r="P68">
        <f>IF(K68&lt;10,"Low",IF(K68&lt;=20,"Medium","High"))</f>
        <v/>
      </c>
      <c r="Q68">
        <f>IF(AND(F68&gt;=4,N68&gt;=80%),"Star Performer",IF(F68&gt;=3,"Meets Expectations","Needs Improvement"))</f>
        <v/>
      </c>
      <c r="R68">
        <f>IF(O68&gt;=90%,"High Productivity",IF(O68&gt;=60%,"Medium Productivity","Low Productivity"))</f>
        <v/>
      </c>
      <c r="S68">
        <f>ROUND((F68/5)*50+N68*25+O68*25,1)</f>
        <v/>
      </c>
    </row>
    <row r="69">
      <c r="A69" t="inlineStr">
        <is>
          <t>EMP1068</t>
        </is>
      </c>
      <c r="B69" t="inlineStr">
        <is>
          <t>Employee 068</t>
        </is>
      </c>
      <c r="C69" t="inlineStr">
        <is>
          <t>IT</t>
        </is>
      </c>
      <c r="D69" t="inlineStr">
        <is>
          <t>Data Analyst</t>
        </is>
      </c>
      <c r="E69" t="inlineStr">
        <is>
          <t>Rahul Menon</t>
        </is>
      </c>
      <c r="F69" t="n">
        <v>2</v>
      </c>
      <c r="G69" t="n">
        <v>73</v>
      </c>
      <c r="H69" t="n">
        <v>61</v>
      </c>
      <c r="I69" t="n">
        <v>158</v>
      </c>
      <c r="J69" t="n">
        <v>101</v>
      </c>
      <c r="K69" t="n">
        <v>6</v>
      </c>
      <c r="L69" t="inlineStr">
        <is>
          <t>Needs additional guidance</t>
        </is>
      </c>
      <c r="M69" s="2" t="n">
        <v>45778</v>
      </c>
      <c r="N69" s="3">
        <f>IFERROR(J69/I69,0)</f>
        <v/>
      </c>
      <c r="O69" s="3">
        <f>IFERROR(H69/G69,0)</f>
        <v/>
      </c>
      <c r="P69">
        <f>IF(K69&lt;10,"Low",IF(K69&lt;=20,"Medium","High"))</f>
        <v/>
      </c>
      <c r="Q69">
        <f>IF(AND(F69&gt;=4,N69&gt;=80%),"Star Performer",IF(F69&gt;=3,"Meets Expectations","Needs Improvement"))</f>
        <v/>
      </c>
      <c r="R69">
        <f>IF(O69&gt;=90%,"High Productivity",IF(O69&gt;=60%,"Medium Productivity","Low Productivity"))</f>
        <v/>
      </c>
      <c r="S69">
        <f>ROUND((F69/5)*50+N69*25+O69*25,1)</f>
        <v/>
      </c>
    </row>
    <row r="70">
      <c r="A70" t="inlineStr">
        <is>
          <t>EMP1069</t>
        </is>
      </c>
      <c r="B70" t="inlineStr">
        <is>
          <t>Employee 069</t>
        </is>
      </c>
      <c r="C70" t="inlineStr">
        <is>
          <t>Finance</t>
        </is>
      </c>
      <c r="D70" t="inlineStr">
        <is>
          <t>Finance Executive</t>
        </is>
      </c>
      <c r="E70" t="inlineStr">
        <is>
          <t>Meena Joseph</t>
        </is>
      </c>
      <c r="F70" t="n">
        <v>5</v>
      </c>
      <c r="G70" t="n">
        <v>120</v>
      </c>
      <c r="H70" t="n">
        <v>117</v>
      </c>
      <c r="I70" t="n">
        <v>205</v>
      </c>
      <c r="J70" t="n">
        <v>180</v>
      </c>
      <c r="K70" t="n">
        <v>24</v>
      </c>
      <c r="L70" t="inlineStr">
        <is>
          <t>Exceptional performer</t>
        </is>
      </c>
      <c r="M70" s="2" t="n">
        <v>45778</v>
      </c>
      <c r="N70" s="3">
        <f>IFERROR(J70/I70,0)</f>
        <v/>
      </c>
      <c r="O70" s="3">
        <f>IFERROR(H70/G70,0)</f>
        <v/>
      </c>
      <c r="P70">
        <f>IF(K70&lt;10,"Low",IF(K70&lt;=20,"Medium","High"))</f>
        <v/>
      </c>
      <c r="Q70">
        <f>IF(AND(F70&gt;=4,N70&gt;=80%),"Star Performer",IF(F70&gt;=3,"Meets Expectations","Needs Improvement"))</f>
        <v/>
      </c>
      <c r="R70">
        <f>IF(O70&gt;=90%,"High Productivity",IF(O70&gt;=60%,"Medium Productivity","Low Productivity"))</f>
        <v/>
      </c>
      <c r="S70">
        <f>ROUND((F70/5)*50+N70*25+O70*25,1)</f>
        <v/>
      </c>
    </row>
    <row r="71">
      <c r="A71" t="inlineStr">
        <is>
          <t>EMP1070</t>
        </is>
      </c>
      <c r="B71" t="inlineStr">
        <is>
          <t>Employee 070</t>
        </is>
      </c>
      <c r="C71" t="inlineStr">
        <is>
          <t>IT</t>
        </is>
      </c>
      <c r="D71" t="inlineStr">
        <is>
          <t>Software Engineer</t>
        </is>
      </c>
      <c r="E71" t="inlineStr">
        <is>
          <t>Rahul Menon</t>
        </is>
      </c>
      <c r="F71" t="n">
        <v>4</v>
      </c>
      <c r="G71" t="n">
        <v>52</v>
      </c>
      <c r="H71" t="n">
        <v>46</v>
      </c>
      <c r="I71" t="n">
        <v>205</v>
      </c>
      <c r="J71" t="n">
        <v>125</v>
      </c>
      <c r="K71" t="n">
        <v>12</v>
      </c>
      <c r="L71" t="inlineStr">
        <is>
          <t>Strong contributor</t>
        </is>
      </c>
      <c r="M71" s="2" t="n">
        <v>45658</v>
      </c>
      <c r="N71" s="3">
        <f>IFERROR(J71/I71,0)</f>
        <v/>
      </c>
      <c r="O71" s="3">
        <f>IFERROR(H71/G71,0)</f>
        <v/>
      </c>
      <c r="P71">
        <f>IF(K71&lt;10,"Low",IF(K71&lt;=20,"Medium","High"))</f>
        <v/>
      </c>
      <c r="Q71">
        <f>IF(AND(F71&gt;=4,N71&gt;=80%),"Star Performer",IF(F71&gt;=3,"Meets Expectations","Needs Improvement"))</f>
        <v/>
      </c>
      <c r="R71">
        <f>IF(O71&gt;=90%,"High Productivity",IF(O71&gt;=60%,"Medium Productivity","Low Productivity"))</f>
        <v/>
      </c>
      <c r="S71">
        <f>ROUND((F71/5)*50+N71*25+O71*25,1)</f>
        <v/>
      </c>
    </row>
    <row r="72">
      <c r="A72" t="inlineStr">
        <is>
          <t>EMP1071</t>
        </is>
      </c>
      <c r="B72" t="inlineStr">
        <is>
          <t>Employee 071</t>
        </is>
      </c>
      <c r="C72" t="inlineStr">
        <is>
          <t>Customer Support</t>
        </is>
      </c>
      <c r="D72" t="inlineStr">
        <is>
          <t>Support Analyst</t>
        </is>
      </c>
      <c r="E72" t="inlineStr">
        <is>
          <t>Divya Iyer</t>
        </is>
      </c>
      <c r="F72" t="n">
        <v>4</v>
      </c>
      <c r="G72" t="n">
        <v>68</v>
      </c>
      <c r="H72" t="n">
        <v>55</v>
      </c>
      <c r="I72" t="n">
        <v>217</v>
      </c>
      <c r="J72" t="n">
        <v>190</v>
      </c>
      <c r="K72" t="n">
        <v>0</v>
      </c>
      <c r="L72" t="inlineStr">
        <is>
          <t>Strong contributor</t>
        </is>
      </c>
      <c r="M72" s="2" t="n">
        <v>45870</v>
      </c>
      <c r="N72" s="3">
        <f>IFERROR(J72/I72,0)</f>
        <v/>
      </c>
      <c r="O72" s="3">
        <f>IFERROR(H72/G72,0)</f>
        <v/>
      </c>
      <c r="P72">
        <f>IF(K72&lt;10,"Low",IF(K72&lt;=20,"Medium","High"))</f>
        <v/>
      </c>
      <c r="Q72">
        <f>IF(AND(F72&gt;=4,N72&gt;=80%),"Star Performer",IF(F72&gt;=3,"Meets Expectations","Needs Improvement"))</f>
        <v/>
      </c>
      <c r="R72">
        <f>IF(O72&gt;=90%,"High Productivity",IF(O72&gt;=60%,"Medium Productivity","Low Productivity"))</f>
        <v/>
      </c>
      <c r="S72">
        <f>ROUND((F72/5)*50+N72*25+O72*25,1)</f>
        <v/>
      </c>
    </row>
    <row r="73">
      <c r="A73" t="inlineStr">
        <is>
          <t>EMP1072</t>
        </is>
      </c>
      <c r="B73" t="inlineStr">
        <is>
          <t>Employee 072</t>
        </is>
      </c>
      <c r="C73" t="inlineStr">
        <is>
          <t>Customer Support</t>
        </is>
      </c>
      <c r="D73" t="inlineStr">
        <is>
          <t>Support Analyst</t>
        </is>
      </c>
      <c r="E73" t="inlineStr">
        <is>
          <t>Meena Joseph</t>
        </is>
      </c>
      <c r="F73" t="n">
        <v>4</v>
      </c>
      <c r="G73" t="n">
        <v>62</v>
      </c>
      <c r="H73" t="n">
        <v>52</v>
      </c>
      <c r="I73" t="n">
        <v>162</v>
      </c>
      <c r="J73" t="n">
        <v>133</v>
      </c>
      <c r="K73" t="n">
        <v>19</v>
      </c>
      <c r="L73" t="inlineStr">
        <is>
          <t>Strong contributor</t>
        </is>
      </c>
      <c r="M73" s="2" t="n">
        <v>45931</v>
      </c>
      <c r="N73" s="3">
        <f>IFERROR(J73/I73,0)</f>
        <v/>
      </c>
      <c r="O73" s="3">
        <f>IFERROR(H73/G73,0)</f>
        <v/>
      </c>
      <c r="P73">
        <f>IF(K73&lt;10,"Low",IF(K73&lt;=20,"Medium","High"))</f>
        <v/>
      </c>
      <c r="Q73">
        <f>IF(AND(F73&gt;=4,N73&gt;=80%),"Star Performer",IF(F73&gt;=3,"Meets Expectations","Needs Improvement"))</f>
        <v/>
      </c>
      <c r="R73">
        <f>IF(O73&gt;=90%,"High Productivity",IF(O73&gt;=60%,"Medium Productivity","Low Productivity"))</f>
        <v/>
      </c>
      <c r="S73">
        <f>ROUND((F73/5)*50+N73*25+O73*25,1)</f>
        <v/>
      </c>
    </row>
    <row r="74">
      <c r="A74" t="inlineStr">
        <is>
          <t>EMP1073</t>
        </is>
      </c>
      <c r="B74" t="inlineStr">
        <is>
          <t>Employee 073</t>
        </is>
      </c>
      <c r="C74" t="inlineStr">
        <is>
          <t>Sales</t>
        </is>
      </c>
      <c r="D74" t="inlineStr">
        <is>
          <t>Sales Executive</t>
        </is>
      </c>
      <c r="E74" t="inlineStr">
        <is>
          <t>Meena Joseph</t>
        </is>
      </c>
      <c r="F74" t="n">
        <v>4</v>
      </c>
      <c r="G74" t="n">
        <v>47</v>
      </c>
      <c r="H74" t="n">
        <v>33</v>
      </c>
      <c r="I74" t="n">
        <v>168</v>
      </c>
      <c r="J74" t="n">
        <v>106</v>
      </c>
      <c r="K74" t="n">
        <v>14</v>
      </c>
      <c r="L74" t="inlineStr">
        <is>
          <t>Strong contributor</t>
        </is>
      </c>
      <c r="M74" s="2" t="n">
        <v>45689</v>
      </c>
      <c r="N74" s="3">
        <f>IFERROR(J74/I74,0)</f>
        <v/>
      </c>
      <c r="O74" s="3">
        <f>IFERROR(H74/G74,0)</f>
        <v/>
      </c>
      <c r="P74">
        <f>IF(K74&lt;10,"Low",IF(K74&lt;=20,"Medium","High"))</f>
        <v/>
      </c>
      <c r="Q74">
        <f>IF(AND(F74&gt;=4,N74&gt;=80%),"Star Performer",IF(F74&gt;=3,"Meets Expectations","Needs Improvement"))</f>
        <v/>
      </c>
      <c r="R74">
        <f>IF(O74&gt;=90%,"High Productivity",IF(O74&gt;=60%,"Medium Productivity","Low Productivity"))</f>
        <v/>
      </c>
      <c r="S74">
        <f>ROUND((F74/5)*50+N74*25+O74*25,1)</f>
        <v/>
      </c>
    </row>
    <row r="75">
      <c r="A75" t="inlineStr">
        <is>
          <t>EMP1074</t>
        </is>
      </c>
      <c r="B75" t="inlineStr">
        <is>
          <t>Employee 074</t>
        </is>
      </c>
      <c r="C75" t="inlineStr">
        <is>
          <t>Operations</t>
        </is>
      </c>
      <c r="D75" t="inlineStr">
        <is>
          <t>Operations Executive</t>
        </is>
      </c>
      <c r="E75" t="inlineStr">
        <is>
          <t>Meena Joseph</t>
        </is>
      </c>
      <c r="F75" t="n">
        <v>5</v>
      </c>
      <c r="G75" t="n">
        <v>52</v>
      </c>
      <c r="H75" t="n">
        <v>47</v>
      </c>
      <c r="I75" t="n">
        <v>195</v>
      </c>
      <c r="J75" t="n">
        <v>166</v>
      </c>
      <c r="K75" t="n">
        <v>13</v>
      </c>
      <c r="L75" t="inlineStr">
        <is>
          <t>Exceptional performer</t>
        </is>
      </c>
      <c r="M75" s="2" t="n">
        <v>45962</v>
      </c>
      <c r="N75" s="3">
        <f>IFERROR(J75/I75,0)</f>
        <v/>
      </c>
      <c r="O75" s="3">
        <f>IFERROR(H75/G75,0)</f>
        <v/>
      </c>
      <c r="P75">
        <f>IF(K75&lt;10,"Low",IF(K75&lt;=20,"Medium","High"))</f>
        <v/>
      </c>
      <c r="Q75">
        <f>IF(AND(F75&gt;=4,N75&gt;=80%),"Star Performer",IF(F75&gt;=3,"Meets Expectations","Needs Improvement"))</f>
        <v/>
      </c>
      <c r="R75">
        <f>IF(O75&gt;=90%,"High Productivity",IF(O75&gt;=60%,"Medium Productivity","Low Productivity"))</f>
        <v/>
      </c>
      <c r="S75">
        <f>ROUND((F75/5)*50+N75*25+O75*25,1)</f>
        <v/>
      </c>
    </row>
    <row r="76">
      <c r="A76" t="inlineStr">
        <is>
          <t>EMP1075</t>
        </is>
      </c>
      <c r="B76" t="inlineStr">
        <is>
          <t>Employee 075</t>
        </is>
      </c>
      <c r="C76" t="inlineStr">
        <is>
          <t>Marketing</t>
        </is>
      </c>
      <c r="D76" t="inlineStr">
        <is>
          <t>Digital Marketing Analyst</t>
        </is>
      </c>
      <c r="E76" t="inlineStr">
        <is>
          <t>Rahul Menon</t>
        </is>
      </c>
      <c r="F76" t="n">
        <v>4</v>
      </c>
      <c r="G76" t="n">
        <v>90</v>
      </c>
      <c r="H76" t="n">
        <v>62</v>
      </c>
      <c r="I76" t="n">
        <v>160</v>
      </c>
      <c r="J76" t="n">
        <v>130</v>
      </c>
      <c r="K76" t="n">
        <v>17</v>
      </c>
      <c r="L76" t="inlineStr">
        <is>
          <t>Strong contributor</t>
        </is>
      </c>
      <c r="M76" s="2" t="n">
        <v>45717</v>
      </c>
      <c r="N76" s="3">
        <f>IFERROR(J76/I76,0)</f>
        <v/>
      </c>
      <c r="O76" s="3">
        <f>IFERROR(H76/G76,0)</f>
        <v/>
      </c>
      <c r="P76">
        <f>IF(K76&lt;10,"Low",IF(K76&lt;=20,"Medium","High"))</f>
        <v/>
      </c>
      <c r="Q76">
        <f>IF(AND(F76&gt;=4,N76&gt;=80%),"Star Performer",IF(F76&gt;=3,"Meets Expectations","Needs Improvement"))</f>
        <v/>
      </c>
      <c r="R76">
        <f>IF(O76&gt;=90%,"High Productivity",IF(O76&gt;=60%,"Medium Productivity","Low Productivity"))</f>
        <v/>
      </c>
      <c r="S76">
        <f>ROUND((F76/5)*50+N76*25+O76*25,1)</f>
        <v/>
      </c>
    </row>
    <row r="77">
      <c r="A77" t="inlineStr">
        <is>
          <t>EMP1076</t>
        </is>
      </c>
      <c r="B77" t="inlineStr">
        <is>
          <t>Employee 076</t>
        </is>
      </c>
      <c r="C77" t="inlineStr">
        <is>
          <t>Customer Support</t>
        </is>
      </c>
      <c r="D77" t="inlineStr">
        <is>
          <t>Customer Success Associate</t>
        </is>
      </c>
      <c r="E77" t="inlineStr">
        <is>
          <t>Arun Kumar</t>
        </is>
      </c>
      <c r="F77" t="n">
        <v>5</v>
      </c>
      <c r="G77" t="n">
        <v>87</v>
      </c>
      <c r="H77" t="n">
        <v>59</v>
      </c>
      <c r="I77" t="n">
        <v>156</v>
      </c>
      <c r="J77" t="n">
        <v>112</v>
      </c>
      <c r="K77" t="n">
        <v>24</v>
      </c>
      <c r="L77" t="inlineStr">
        <is>
          <t>Exceptional performer</t>
        </is>
      </c>
      <c r="M77" s="2" t="n">
        <v>45658</v>
      </c>
      <c r="N77" s="3">
        <f>IFERROR(J77/I77,0)</f>
        <v/>
      </c>
      <c r="O77" s="3">
        <f>IFERROR(H77/G77,0)</f>
        <v/>
      </c>
      <c r="P77">
        <f>IF(K77&lt;10,"Low",IF(K77&lt;=20,"Medium","High"))</f>
        <v/>
      </c>
      <c r="Q77">
        <f>IF(AND(F77&gt;=4,N77&gt;=80%),"Star Performer",IF(F77&gt;=3,"Meets Expectations","Needs Improvement"))</f>
        <v/>
      </c>
      <c r="R77">
        <f>IF(O77&gt;=90%,"High Productivity",IF(O77&gt;=60%,"Medium Productivity","Low Productivity"))</f>
        <v/>
      </c>
      <c r="S77">
        <f>ROUND((F77/5)*50+N77*25+O77*25,1)</f>
        <v/>
      </c>
    </row>
    <row r="78">
      <c r="A78" t="inlineStr">
        <is>
          <t>EMP1077</t>
        </is>
      </c>
      <c r="B78" t="inlineStr">
        <is>
          <t>Employee 077</t>
        </is>
      </c>
      <c r="C78" t="inlineStr">
        <is>
          <t>Sales</t>
        </is>
      </c>
      <c r="D78" t="inlineStr">
        <is>
          <t>Business Development Executive</t>
        </is>
      </c>
      <c r="E78" t="inlineStr">
        <is>
          <t>Karthik Rao</t>
        </is>
      </c>
      <c r="F78" t="n">
        <v>4</v>
      </c>
      <c r="G78" t="n">
        <v>101</v>
      </c>
      <c r="H78" t="n">
        <v>85</v>
      </c>
      <c r="I78" t="n">
        <v>219</v>
      </c>
      <c r="J78" t="n">
        <v>178</v>
      </c>
      <c r="K78" t="n">
        <v>35</v>
      </c>
      <c r="L78" t="inlineStr">
        <is>
          <t>Strong contributor</t>
        </is>
      </c>
      <c r="M78" s="2" t="n">
        <v>45992</v>
      </c>
      <c r="N78" s="3">
        <f>IFERROR(J78/I78,0)</f>
        <v/>
      </c>
      <c r="O78" s="3">
        <f>IFERROR(H78/G78,0)</f>
        <v/>
      </c>
      <c r="P78">
        <f>IF(K78&lt;10,"Low",IF(K78&lt;=20,"Medium","High"))</f>
        <v/>
      </c>
      <c r="Q78">
        <f>IF(AND(F78&gt;=4,N78&gt;=80%),"Star Performer",IF(F78&gt;=3,"Meets Expectations","Needs Improvement"))</f>
        <v/>
      </c>
      <c r="R78">
        <f>IF(O78&gt;=90%,"High Productivity",IF(O78&gt;=60%,"Medium Productivity","Low Productivity"))</f>
        <v/>
      </c>
      <c r="S78">
        <f>ROUND((F78/5)*50+N78*25+O78*25,1)</f>
        <v/>
      </c>
    </row>
    <row r="79">
      <c r="A79" t="inlineStr">
        <is>
          <t>EMP1078</t>
        </is>
      </c>
      <c r="B79" t="inlineStr">
        <is>
          <t>Employee 078</t>
        </is>
      </c>
      <c r="C79" t="inlineStr">
        <is>
          <t>HR</t>
        </is>
      </c>
      <c r="D79" t="inlineStr">
        <is>
          <t>HR Executive</t>
        </is>
      </c>
      <c r="E79" t="inlineStr">
        <is>
          <t>Divya Iyer</t>
        </is>
      </c>
      <c r="F79" t="n">
        <v>2</v>
      </c>
      <c r="G79" t="n">
        <v>70</v>
      </c>
      <c r="H79" t="n">
        <v>59</v>
      </c>
      <c r="I79" t="n">
        <v>223</v>
      </c>
      <c r="J79" t="n">
        <v>111</v>
      </c>
      <c r="K79" t="n">
        <v>15</v>
      </c>
      <c r="L79" t="inlineStr">
        <is>
          <t>Needs additional guidance</t>
        </is>
      </c>
      <c r="M79" s="2" t="n">
        <v>45992</v>
      </c>
      <c r="N79" s="3">
        <f>IFERROR(J79/I79,0)</f>
        <v/>
      </c>
      <c r="O79" s="3">
        <f>IFERROR(H79/G79,0)</f>
        <v/>
      </c>
      <c r="P79">
        <f>IF(K79&lt;10,"Low",IF(K79&lt;=20,"Medium","High"))</f>
        <v/>
      </c>
      <c r="Q79">
        <f>IF(AND(F79&gt;=4,N79&gt;=80%),"Star Performer",IF(F79&gt;=3,"Meets Expectations","Needs Improvement"))</f>
        <v/>
      </c>
      <c r="R79">
        <f>IF(O79&gt;=90%,"High Productivity",IF(O79&gt;=60%,"Medium Productivity","Low Productivity"))</f>
        <v/>
      </c>
      <c r="S79">
        <f>ROUND((F79/5)*50+N79*25+O79*25,1)</f>
        <v/>
      </c>
    </row>
    <row r="80">
      <c r="A80" t="inlineStr">
        <is>
          <t>EMP1079</t>
        </is>
      </c>
      <c r="B80" t="inlineStr">
        <is>
          <t>Employee 079</t>
        </is>
      </c>
      <c r="C80" t="inlineStr">
        <is>
          <t>Marketing</t>
        </is>
      </c>
      <c r="D80" t="inlineStr">
        <is>
          <t>Digital Marketing Analyst</t>
        </is>
      </c>
      <c r="E80" t="inlineStr">
        <is>
          <t>Divya Iyer</t>
        </is>
      </c>
      <c r="F80" t="n">
        <v>2</v>
      </c>
      <c r="G80" t="n">
        <v>104</v>
      </c>
      <c r="H80" t="n">
        <v>85</v>
      </c>
      <c r="I80" t="n">
        <v>181</v>
      </c>
      <c r="J80" t="n">
        <v>136</v>
      </c>
      <c r="K80" t="n">
        <v>12</v>
      </c>
      <c r="L80" t="inlineStr">
        <is>
          <t>Needs additional guidance</t>
        </is>
      </c>
      <c r="M80" s="2" t="n">
        <v>45870</v>
      </c>
      <c r="N80" s="3">
        <f>IFERROR(J80/I80,0)</f>
        <v/>
      </c>
      <c r="O80" s="3">
        <f>IFERROR(H80/G80,0)</f>
        <v/>
      </c>
      <c r="P80">
        <f>IF(K80&lt;10,"Low",IF(K80&lt;=20,"Medium","High"))</f>
        <v/>
      </c>
      <c r="Q80">
        <f>IF(AND(F80&gt;=4,N80&gt;=80%),"Star Performer",IF(F80&gt;=3,"Meets Expectations","Needs Improvement"))</f>
        <v/>
      </c>
      <c r="R80">
        <f>IF(O80&gt;=90%,"High Productivity",IF(O80&gt;=60%,"Medium Productivity","Low Productivity"))</f>
        <v/>
      </c>
      <c r="S80">
        <f>ROUND((F80/5)*50+N80*25+O80*25,1)</f>
        <v/>
      </c>
    </row>
    <row r="81">
      <c r="A81" t="inlineStr">
        <is>
          <t>EMP1080</t>
        </is>
      </c>
      <c r="B81" t="inlineStr">
        <is>
          <t>Employee 080</t>
        </is>
      </c>
      <c r="C81" t="inlineStr">
        <is>
          <t>Marketing</t>
        </is>
      </c>
      <c r="D81" t="inlineStr">
        <is>
          <t>Digital Marketing Analyst</t>
        </is>
      </c>
      <c r="E81" t="inlineStr">
        <is>
          <t>Rahul Menon</t>
        </is>
      </c>
      <c r="F81" t="n">
        <v>3</v>
      </c>
      <c r="G81" t="n">
        <v>67</v>
      </c>
      <c r="H81" t="n">
        <v>51</v>
      </c>
      <c r="I81" t="n">
        <v>168</v>
      </c>
      <c r="J81" t="n">
        <v>140</v>
      </c>
      <c r="K81" t="n">
        <v>19</v>
      </c>
      <c r="L81" t="inlineStr">
        <is>
          <t>Meets expectations</t>
        </is>
      </c>
      <c r="M81" s="2" t="n">
        <v>45870</v>
      </c>
      <c r="N81" s="3">
        <f>IFERROR(J81/I81,0)</f>
        <v/>
      </c>
      <c r="O81" s="3">
        <f>IFERROR(H81/G81,0)</f>
        <v/>
      </c>
      <c r="P81">
        <f>IF(K81&lt;10,"Low",IF(K81&lt;=20,"Medium","High"))</f>
        <v/>
      </c>
      <c r="Q81">
        <f>IF(AND(F81&gt;=4,N81&gt;=80%),"Star Performer",IF(F81&gt;=3,"Meets Expectations","Needs Improvement"))</f>
        <v/>
      </c>
      <c r="R81">
        <f>IF(O81&gt;=90%,"High Productivity",IF(O81&gt;=60%,"Medium Productivity","Low Productivity"))</f>
        <v/>
      </c>
      <c r="S81">
        <f>ROUND((F81/5)*50+N81*25+O81*25,1)</f>
        <v/>
      </c>
    </row>
    <row r="82">
      <c r="A82" t="inlineStr">
        <is>
          <t>EMP1081</t>
        </is>
      </c>
      <c r="B82" t="inlineStr">
        <is>
          <t>Employee 081</t>
        </is>
      </c>
      <c r="C82" t="inlineStr">
        <is>
          <t>Sales</t>
        </is>
      </c>
      <c r="D82" t="inlineStr">
        <is>
          <t>Business Development Executive</t>
        </is>
      </c>
      <c r="E82" t="inlineStr">
        <is>
          <t>Arun Kumar</t>
        </is>
      </c>
      <c r="F82" t="n">
        <v>3</v>
      </c>
      <c r="G82" t="n">
        <v>68</v>
      </c>
      <c r="H82" t="n">
        <v>49</v>
      </c>
      <c r="I82" t="n">
        <v>199</v>
      </c>
      <c r="J82" t="n">
        <v>140</v>
      </c>
      <c r="K82" t="n">
        <v>17</v>
      </c>
      <c r="L82" t="inlineStr">
        <is>
          <t>Meets expectations</t>
        </is>
      </c>
      <c r="M82" s="2" t="n">
        <v>45992</v>
      </c>
      <c r="N82" s="3">
        <f>IFERROR(J82/I82,0)</f>
        <v/>
      </c>
      <c r="O82" s="3">
        <f>IFERROR(H82/G82,0)</f>
        <v/>
      </c>
      <c r="P82">
        <f>IF(K82&lt;10,"Low",IF(K82&lt;=20,"Medium","High"))</f>
        <v/>
      </c>
      <c r="Q82">
        <f>IF(AND(F82&gt;=4,N82&gt;=80%),"Star Performer",IF(F82&gt;=3,"Meets Expectations","Needs Improvement"))</f>
        <v/>
      </c>
      <c r="R82">
        <f>IF(O82&gt;=90%,"High Productivity",IF(O82&gt;=60%,"Medium Productivity","Low Productivity"))</f>
        <v/>
      </c>
      <c r="S82">
        <f>ROUND((F82/5)*50+N82*25+O82*25,1)</f>
        <v/>
      </c>
    </row>
    <row r="83">
      <c r="A83" t="inlineStr">
        <is>
          <t>EMP1082</t>
        </is>
      </c>
      <c r="B83" t="inlineStr">
        <is>
          <t>Employee 082</t>
        </is>
      </c>
      <c r="C83" t="inlineStr">
        <is>
          <t>Finance</t>
        </is>
      </c>
      <c r="D83" t="inlineStr">
        <is>
          <t>Finance Executive</t>
        </is>
      </c>
      <c r="E83" t="inlineStr">
        <is>
          <t>Karthik Rao</t>
        </is>
      </c>
      <c r="F83" t="n">
        <v>2</v>
      </c>
      <c r="G83" t="n">
        <v>77</v>
      </c>
      <c r="H83" t="n">
        <v>60</v>
      </c>
      <c r="I83" t="n">
        <v>221</v>
      </c>
      <c r="J83" t="n">
        <v>150</v>
      </c>
      <c r="K83" t="n">
        <v>24</v>
      </c>
      <c r="L83" t="inlineStr">
        <is>
          <t>Needs additional guidance</t>
        </is>
      </c>
      <c r="M83" s="2" t="n">
        <v>45962</v>
      </c>
      <c r="N83" s="3">
        <f>IFERROR(J83/I83,0)</f>
        <v/>
      </c>
      <c r="O83" s="3">
        <f>IFERROR(H83/G83,0)</f>
        <v/>
      </c>
      <c r="P83">
        <f>IF(K83&lt;10,"Low",IF(K83&lt;=20,"Medium","High"))</f>
        <v/>
      </c>
      <c r="Q83">
        <f>IF(AND(F83&gt;=4,N83&gt;=80%),"Star Performer",IF(F83&gt;=3,"Meets Expectations","Needs Improvement"))</f>
        <v/>
      </c>
      <c r="R83">
        <f>IF(O83&gt;=90%,"High Productivity",IF(O83&gt;=60%,"Medium Productivity","Low Productivity"))</f>
        <v/>
      </c>
      <c r="S83">
        <f>ROUND((F83/5)*50+N83*25+O83*25,1)</f>
        <v/>
      </c>
    </row>
    <row r="84">
      <c r="A84" t="inlineStr">
        <is>
          <t>EMP1083</t>
        </is>
      </c>
      <c r="B84" t="inlineStr">
        <is>
          <t>Employee 083</t>
        </is>
      </c>
      <c r="C84" t="inlineStr">
        <is>
          <t>Customer Support</t>
        </is>
      </c>
      <c r="D84" t="inlineStr">
        <is>
          <t>Customer Success Associate</t>
        </is>
      </c>
      <c r="E84" t="inlineStr">
        <is>
          <t>Divya Iyer</t>
        </is>
      </c>
      <c r="F84" t="n">
        <v>3</v>
      </c>
      <c r="G84" t="n">
        <v>79</v>
      </c>
      <c r="H84" t="n">
        <v>78</v>
      </c>
      <c r="I84" t="n">
        <v>179</v>
      </c>
      <c r="J84" t="n">
        <v>100</v>
      </c>
      <c r="K84" t="n">
        <v>28</v>
      </c>
      <c r="L84" t="inlineStr">
        <is>
          <t>Meets expectations</t>
        </is>
      </c>
      <c r="M84" s="2" t="n">
        <v>45992</v>
      </c>
      <c r="N84" s="3">
        <f>IFERROR(J84/I84,0)</f>
        <v/>
      </c>
      <c r="O84" s="3">
        <f>IFERROR(H84/G84,0)</f>
        <v/>
      </c>
      <c r="P84">
        <f>IF(K84&lt;10,"Low",IF(K84&lt;=20,"Medium","High"))</f>
        <v/>
      </c>
      <c r="Q84">
        <f>IF(AND(F84&gt;=4,N84&gt;=80%),"Star Performer",IF(F84&gt;=3,"Meets Expectations","Needs Improvement"))</f>
        <v/>
      </c>
      <c r="R84">
        <f>IF(O84&gt;=90%,"High Productivity",IF(O84&gt;=60%,"Medium Productivity","Low Productivity"))</f>
        <v/>
      </c>
      <c r="S84">
        <f>ROUND((F84/5)*50+N84*25+O84*25,1)</f>
        <v/>
      </c>
    </row>
    <row r="85">
      <c r="A85" t="inlineStr">
        <is>
          <t>EMP1084</t>
        </is>
      </c>
      <c r="B85" t="inlineStr">
        <is>
          <t>Employee 084</t>
        </is>
      </c>
      <c r="C85" t="inlineStr">
        <is>
          <t>HR</t>
        </is>
      </c>
      <c r="D85" t="inlineStr">
        <is>
          <t>Recruiter</t>
        </is>
      </c>
      <c r="E85" t="inlineStr">
        <is>
          <t>Divya Iyer</t>
        </is>
      </c>
      <c r="F85" t="n">
        <v>3</v>
      </c>
      <c r="G85" t="n">
        <v>90</v>
      </c>
      <c r="H85" t="n">
        <v>77</v>
      </c>
      <c r="I85" t="n">
        <v>184</v>
      </c>
      <c r="J85" t="n">
        <v>164</v>
      </c>
      <c r="K85" t="n">
        <v>17</v>
      </c>
      <c r="L85" t="inlineStr">
        <is>
          <t>Meets expectations</t>
        </is>
      </c>
      <c r="M85" s="2" t="n">
        <v>45839</v>
      </c>
      <c r="N85" s="3">
        <f>IFERROR(J85/I85,0)</f>
        <v/>
      </c>
      <c r="O85" s="3">
        <f>IFERROR(H85/G85,0)</f>
        <v/>
      </c>
      <c r="P85">
        <f>IF(K85&lt;10,"Low",IF(K85&lt;=20,"Medium","High"))</f>
        <v/>
      </c>
      <c r="Q85">
        <f>IF(AND(F85&gt;=4,N85&gt;=80%),"Star Performer",IF(F85&gt;=3,"Meets Expectations","Needs Improvement"))</f>
        <v/>
      </c>
      <c r="R85">
        <f>IF(O85&gt;=90%,"High Productivity",IF(O85&gt;=60%,"Medium Productivity","Low Productivity"))</f>
        <v/>
      </c>
      <c r="S85">
        <f>ROUND((F85/5)*50+N85*25+O85*25,1)</f>
        <v/>
      </c>
    </row>
    <row r="86">
      <c r="A86" t="inlineStr">
        <is>
          <t>EMP1085</t>
        </is>
      </c>
      <c r="B86" t="inlineStr">
        <is>
          <t>Employee 085</t>
        </is>
      </c>
      <c r="C86" t="inlineStr">
        <is>
          <t>Operations</t>
        </is>
      </c>
      <c r="D86" t="inlineStr">
        <is>
          <t>Process Analyst</t>
        </is>
      </c>
      <c r="E86" t="inlineStr">
        <is>
          <t>Rahul Menon</t>
        </is>
      </c>
      <c r="F86" t="n">
        <v>3</v>
      </c>
      <c r="G86" t="n">
        <v>84</v>
      </c>
      <c r="H86" t="n">
        <v>63</v>
      </c>
      <c r="I86" t="n">
        <v>190</v>
      </c>
      <c r="J86" t="n">
        <v>154</v>
      </c>
      <c r="K86" t="n">
        <v>9</v>
      </c>
      <c r="L86" t="inlineStr">
        <is>
          <t>Meets expectations</t>
        </is>
      </c>
      <c r="M86" s="2" t="n">
        <v>45778</v>
      </c>
      <c r="N86" s="3">
        <f>IFERROR(J86/I86,0)</f>
        <v/>
      </c>
      <c r="O86" s="3">
        <f>IFERROR(H86/G86,0)</f>
        <v/>
      </c>
      <c r="P86">
        <f>IF(K86&lt;10,"Low",IF(K86&lt;=20,"Medium","High"))</f>
        <v/>
      </c>
      <c r="Q86">
        <f>IF(AND(F86&gt;=4,N86&gt;=80%),"Star Performer",IF(F86&gt;=3,"Meets Expectations","Needs Improvement"))</f>
        <v/>
      </c>
      <c r="R86">
        <f>IF(O86&gt;=90%,"High Productivity",IF(O86&gt;=60%,"Medium Productivity","Low Productivity"))</f>
        <v/>
      </c>
      <c r="S86">
        <f>ROUND((F86/5)*50+N86*25+O86*25,1)</f>
        <v/>
      </c>
    </row>
    <row r="87">
      <c r="A87" t="inlineStr">
        <is>
          <t>EMP1086</t>
        </is>
      </c>
      <c r="B87" t="inlineStr">
        <is>
          <t>Employee 086</t>
        </is>
      </c>
      <c r="C87" t="inlineStr">
        <is>
          <t>Sales</t>
        </is>
      </c>
      <c r="D87" t="inlineStr">
        <is>
          <t>Sales Executive</t>
        </is>
      </c>
      <c r="E87" t="inlineStr">
        <is>
          <t>Meena Joseph</t>
        </is>
      </c>
      <c r="F87" t="n">
        <v>4</v>
      </c>
      <c r="G87" t="n">
        <v>116</v>
      </c>
      <c r="H87" t="n">
        <v>114</v>
      </c>
      <c r="I87" t="n">
        <v>203</v>
      </c>
      <c r="J87" t="n">
        <v>140</v>
      </c>
      <c r="K87" t="n">
        <v>18</v>
      </c>
      <c r="L87" t="inlineStr">
        <is>
          <t>Strong contributor</t>
        </is>
      </c>
      <c r="M87" s="2" t="n">
        <v>45870</v>
      </c>
      <c r="N87" s="3">
        <f>IFERROR(J87/I87,0)</f>
        <v/>
      </c>
      <c r="O87" s="3">
        <f>IFERROR(H87/G87,0)</f>
        <v/>
      </c>
      <c r="P87">
        <f>IF(K87&lt;10,"Low",IF(K87&lt;=20,"Medium","High"))</f>
        <v/>
      </c>
      <c r="Q87">
        <f>IF(AND(F87&gt;=4,N87&gt;=80%),"Star Performer",IF(F87&gt;=3,"Meets Expectations","Needs Improvement"))</f>
        <v/>
      </c>
      <c r="R87">
        <f>IF(O87&gt;=90%,"High Productivity",IF(O87&gt;=60%,"Medium Productivity","Low Productivity"))</f>
        <v/>
      </c>
      <c r="S87">
        <f>ROUND((F87/5)*50+N87*25+O87*25,1)</f>
        <v/>
      </c>
    </row>
    <row r="88">
      <c r="A88" t="inlineStr">
        <is>
          <t>EMP1087</t>
        </is>
      </c>
      <c r="B88" t="inlineStr">
        <is>
          <t>Employee 087</t>
        </is>
      </c>
      <c r="C88" t="inlineStr">
        <is>
          <t>Customer Support</t>
        </is>
      </c>
      <c r="D88" t="inlineStr">
        <is>
          <t>Support Analyst</t>
        </is>
      </c>
      <c r="E88" t="inlineStr">
        <is>
          <t>Rahul Menon</t>
        </is>
      </c>
      <c r="F88" t="n">
        <v>3</v>
      </c>
      <c r="G88" t="n">
        <v>105</v>
      </c>
      <c r="H88" t="n">
        <v>100</v>
      </c>
      <c r="I88" t="n">
        <v>174</v>
      </c>
      <c r="J88" t="n">
        <v>130</v>
      </c>
      <c r="K88" t="n">
        <v>27</v>
      </c>
      <c r="L88" t="inlineStr">
        <is>
          <t>Meets expectations</t>
        </is>
      </c>
      <c r="M88" s="2" t="n">
        <v>45689</v>
      </c>
      <c r="N88" s="3">
        <f>IFERROR(J88/I88,0)</f>
        <v/>
      </c>
      <c r="O88" s="3">
        <f>IFERROR(H88/G88,0)</f>
        <v/>
      </c>
      <c r="P88">
        <f>IF(K88&lt;10,"Low",IF(K88&lt;=20,"Medium","High"))</f>
        <v/>
      </c>
      <c r="Q88">
        <f>IF(AND(F88&gt;=4,N88&gt;=80%),"Star Performer",IF(F88&gt;=3,"Meets Expectations","Needs Improvement"))</f>
        <v/>
      </c>
      <c r="R88">
        <f>IF(O88&gt;=90%,"High Productivity",IF(O88&gt;=60%,"Medium Productivity","Low Productivity"))</f>
        <v/>
      </c>
      <c r="S88">
        <f>ROUND((F88/5)*50+N88*25+O88*25,1)</f>
        <v/>
      </c>
    </row>
    <row r="89">
      <c r="A89" t="inlineStr">
        <is>
          <t>EMP1088</t>
        </is>
      </c>
      <c r="B89" t="inlineStr">
        <is>
          <t>Employee 088</t>
        </is>
      </c>
      <c r="C89" t="inlineStr">
        <is>
          <t>Finance</t>
        </is>
      </c>
      <c r="D89" t="inlineStr">
        <is>
          <t>Finance Executive</t>
        </is>
      </c>
      <c r="E89" t="inlineStr">
        <is>
          <t>Arun Kumar</t>
        </is>
      </c>
      <c r="F89" t="n">
        <v>3</v>
      </c>
      <c r="G89" t="n">
        <v>102</v>
      </c>
      <c r="H89" t="n">
        <v>88</v>
      </c>
      <c r="I89" t="n">
        <v>160</v>
      </c>
      <c r="J89" t="n">
        <v>113</v>
      </c>
      <c r="K89" t="n">
        <v>29</v>
      </c>
      <c r="L89" t="inlineStr">
        <is>
          <t>Meets expectations</t>
        </is>
      </c>
      <c r="M89" s="2" t="n">
        <v>45839</v>
      </c>
      <c r="N89" s="3">
        <f>IFERROR(J89/I89,0)</f>
        <v/>
      </c>
      <c r="O89" s="3">
        <f>IFERROR(H89/G89,0)</f>
        <v/>
      </c>
      <c r="P89">
        <f>IF(K89&lt;10,"Low",IF(K89&lt;=20,"Medium","High"))</f>
        <v/>
      </c>
      <c r="Q89">
        <f>IF(AND(F89&gt;=4,N89&gt;=80%),"Star Performer",IF(F89&gt;=3,"Meets Expectations","Needs Improvement"))</f>
        <v/>
      </c>
      <c r="R89">
        <f>IF(O89&gt;=90%,"High Productivity",IF(O89&gt;=60%,"Medium Productivity","Low Productivity"))</f>
        <v/>
      </c>
      <c r="S89">
        <f>ROUND((F89/5)*50+N89*25+O89*25,1)</f>
        <v/>
      </c>
    </row>
    <row r="90">
      <c r="A90" t="inlineStr">
        <is>
          <t>EMP1089</t>
        </is>
      </c>
      <c r="B90" t="inlineStr">
        <is>
          <t>Employee 089</t>
        </is>
      </c>
      <c r="C90" t="inlineStr">
        <is>
          <t>Marketing</t>
        </is>
      </c>
      <c r="D90" t="inlineStr">
        <is>
          <t>Marketing Executive</t>
        </is>
      </c>
      <c r="E90" t="inlineStr">
        <is>
          <t>Arun Kumar</t>
        </is>
      </c>
      <c r="F90" t="n">
        <v>4</v>
      </c>
      <c r="G90" t="n">
        <v>107</v>
      </c>
      <c r="H90" t="n">
        <v>111</v>
      </c>
      <c r="I90" t="n">
        <v>163</v>
      </c>
      <c r="J90" t="n">
        <v>119</v>
      </c>
      <c r="K90" t="n">
        <v>4</v>
      </c>
      <c r="L90" t="inlineStr">
        <is>
          <t>Strong contributor</t>
        </is>
      </c>
      <c r="M90" s="2" t="n">
        <v>45778</v>
      </c>
      <c r="N90" s="3">
        <f>IFERROR(J90/I90,0)</f>
        <v/>
      </c>
      <c r="O90" s="3">
        <f>IFERROR(H90/G90,0)</f>
        <v/>
      </c>
      <c r="P90">
        <f>IF(K90&lt;10,"Low",IF(K90&lt;=20,"Medium","High"))</f>
        <v/>
      </c>
      <c r="Q90">
        <f>IF(AND(F90&gt;=4,N90&gt;=80%),"Star Performer",IF(F90&gt;=3,"Meets Expectations","Needs Improvement"))</f>
        <v/>
      </c>
      <c r="R90">
        <f>IF(O90&gt;=90%,"High Productivity",IF(O90&gt;=60%,"Medium Productivity","Low Productivity"))</f>
        <v/>
      </c>
      <c r="S90">
        <f>ROUND((F90/5)*50+N90*25+O90*25,1)</f>
        <v/>
      </c>
    </row>
    <row r="91">
      <c r="A91" t="inlineStr">
        <is>
          <t>EMP1090</t>
        </is>
      </c>
      <c r="B91" t="inlineStr">
        <is>
          <t>Employee 090</t>
        </is>
      </c>
      <c r="C91" t="inlineStr">
        <is>
          <t>Operations</t>
        </is>
      </c>
      <c r="D91" t="inlineStr">
        <is>
          <t>Process Analyst</t>
        </is>
      </c>
      <c r="E91" t="inlineStr">
        <is>
          <t>Meena Joseph</t>
        </is>
      </c>
      <c r="F91" t="n">
        <v>1</v>
      </c>
      <c r="G91" t="n">
        <v>45</v>
      </c>
      <c r="H91" t="n">
        <v>39</v>
      </c>
      <c r="I91" t="n">
        <v>152</v>
      </c>
      <c r="J91" t="n">
        <v>71</v>
      </c>
      <c r="K91" t="n">
        <v>16</v>
      </c>
      <c r="L91" t="inlineStr">
        <is>
          <t>Needs close supervision</t>
        </is>
      </c>
      <c r="M91" s="2" t="n">
        <v>45689</v>
      </c>
      <c r="N91" s="3">
        <f>IFERROR(J91/I91,0)</f>
        <v/>
      </c>
      <c r="O91" s="3">
        <f>IFERROR(H91/G91,0)</f>
        <v/>
      </c>
      <c r="P91">
        <f>IF(K91&lt;10,"Low",IF(K91&lt;=20,"Medium","High"))</f>
        <v/>
      </c>
      <c r="Q91">
        <f>IF(AND(F91&gt;=4,N91&gt;=80%),"Star Performer",IF(F91&gt;=3,"Meets Expectations","Needs Improvement"))</f>
        <v/>
      </c>
      <c r="R91">
        <f>IF(O91&gt;=90%,"High Productivity",IF(O91&gt;=60%,"Medium Productivity","Low Productivity"))</f>
        <v/>
      </c>
      <c r="S91">
        <f>ROUND((F91/5)*50+N91*25+O91*25,1)</f>
        <v/>
      </c>
    </row>
    <row r="92">
      <c r="A92" t="inlineStr">
        <is>
          <t>EMP1091</t>
        </is>
      </c>
      <c r="B92" t="inlineStr">
        <is>
          <t>Employee 091</t>
        </is>
      </c>
      <c r="C92" t="inlineStr">
        <is>
          <t>Customer Support</t>
        </is>
      </c>
      <c r="D92" t="inlineStr">
        <is>
          <t>Customer Success Associate</t>
        </is>
      </c>
      <c r="E92" t="inlineStr">
        <is>
          <t>Divya Iyer</t>
        </is>
      </c>
      <c r="F92" t="n">
        <v>3</v>
      </c>
      <c r="G92" t="n">
        <v>97</v>
      </c>
      <c r="H92" t="n">
        <v>95</v>
      </c>
      <c r="I92" t="n">
        <v>176</v>
      </c>
      <c r="J92" t="n">
        <v>143</v>
      </c>
      <c r="K92" t="n">
        <v>16</v>
      </c>
      <c r="L92" t="inlineStr">
        <is>
          <t>Meets expectations</t>
        </is>
      </c>
      <c r="M92" s="2" t="n">
        <v>45931</v>
      </c>
      <c r="N92" s="3">
        <f>IFERROR(J92/I92,0)</f>
        <v/>
      </c>
      <c r="O92" s="3">
        <f>IFERROR(H92/G92,0)</f>
        <v/>
      </c>
      <c r="P92">
        <f>IF(K92&lt;10,"Low",IF(K92&lt;=20,"Medium","High"))</f>
        <v/>
      </c>
      <c r="Q92">
        <f>IF(AND(F92&gt;=4,N92&gt;=80%),"Star Performer",IF(F92&gt;=3,"Meets Expectations","Needs Improvement"))</f>
        <v/>
      </c>
      <c r="R92">
        <f>IF(O92&gt;=90%,"High Productivity",IF(O92&gt;=60%,"Medium Productivity","Low Productivity"))</f>
        <v/>
      </c>
      <c r="S92">
        <f>ROUND((F92/5)*50+N92*25+O92*25,1)</f>
        <v/>
      </c>
    </row>
    <row r="93">
      <c r="A93" t="inlineStr">
        <is>
          <t>EMP1092</t>
        </is>
      </c>
      <c r="B93" t="inlineStr">
        <is>
          <t>Employee 092</t>
        </is>
      </c>
      <c r="C93" t="inlineStr">
        <is>
          <t>Marketing</t>
        </is>
      </c>
      <c r="D93" t="inlineStr">
        <is>
          <t>Marketing Executive</t>
        </is>
      </c>
      <c r="E93" t="inlineStr">
        <is>
          <t>Rahul Menon</t>
        </is>
      </c>
      <c r="F93" t="n">
        <v>3</v>
      </c>
      <c r="G93" t="n">
        <v>112</v>
      </c>
      <c r="H93" t="n">
        <v>94</v>
      </c>
      <c r="I93" t="n">
        <v>172</v>
      </c>
      <c r="J93" t="n">
        <v>115</v>
      </c>
      <c r="K93" t="n">
        <v>33</v>
      </c>
      <c r="L93" t="inlineStr">
        <is>
          <t>Meets expectations</t>
        </is>
      </c>
      <c r="M93" s="2" t="n">
        <v>45839</v>
      </c>
      <c r="N93" s="3">
        <f>IFERROR(J93/I93,0)</f>
        <v/>
      </c>
      <c r="O93" s="3">
        <f>IFERROR(H93/G93,0)</f>
        <v/>
      </c>
      <c r="P93">
        <f>IF(K93&lt;10,"Low",IF(K93&lt;=20,"Medium","High"))</f>
        <v/>
      </c>
      <c r="Q93">
        <f>IF(AND(F93&gt;=4,N93&gt;=80%),"Star Performer",IF(F93&gt;=3,"Meets Expectations","Needs Improvement"))</f>
        <v/>
      </c>
      <c r="R93">
        <f>IF(O93&gt;=90%,"High Productivity",IF(O93&gt;=60%,"Medium Productivity","Low Productivity"))</f>
        <v/>
      </c>
      <c r="S93">
        <f>ROUND((F93/5)*50+N93*25+O93*25,1)</f>
        <v/>
      </c>
    </row>
    <row r="94">
      <c r="A94" t="inlineStr">
        <is>
          <t>EMP1093</t>
        </is>
      </c>
      <c r="B94" t="inlineStr">
        <is>
          <t>Employee 093</t>
        </is>
      </c>
      <c r="C94" t="inlineStr">
        <is>
          <t>Sales</t>
        </is>
      </c>
      <c r="D94" t="inlineStr">
        <is>
          <t>Business Development Executive</t>
        </is>
      </c>
      <c r="E94" t="inlineStr">
        <is>
          <t>Karthik Rao</t>
        </is>
      </c>
      <c r="F94" t="n">
        <v>1</v>
      </c>
      <c r="G94" t="n">
        <v>38</v>
      </c>
      <c r="H94" t="n">
        <v>22</v>
      </c>
      <c r="I94" t="n">
        <v>191</v>
      </c>
      <c r="J94" t="n">
        <v>115</v>
      </c>
      <c r="K94" t="n">
        <v>11</v>
      </c>
      <c r="L94" t="inlineStr">
        <is>
          <t>Needs close supervision</t>
        </is>
      </c>
      <c r="M94" s="2" t="n">
        <v>45931</v>
      </c>
      <c r="N94" s="3">
        <f>IFERROR(J94/I94,0)</f>
        <v/>
      </c>
      <c r="O94" s="3">
        <f>IFERROR(H94/G94,0)</f>
        <v/>
      </c>
      <c r="P94">
        <f>IF(K94&lt;10,"Low",IF(K94&lt;=20,"Medium","High"))</f>
        <v/>
      </c>
      <c r="Q94">
        <f>IF(AND(F94&gt;=4,N94&gt;=80%),"Star Performer",IF(F94&gt;=3,"Meets Expectations","Needs Improvement"))</f>
        <v/>
      </c>
      <c r="R94">
        <f>IF(O94&gt;=90%,"High Productivity",IF(O94&gt;=60%,"Medium Productivity","Low Productivity"))</f>
        <v/>
      </c>
      <c r="S94">
        <f>ROUND((F94/5)*50+N94*25+O94*25,1)</f>
        <v/>
      </c>
    </row>
    <row r="95">
      <c r="A95" t="inlineStr">
        <is>
          <t>EMP1094</t>
        </is>
      </c>
      <c r="B95" t="inlineStr">
        <is>
          <t>Employee 094</t>
        </is>
      </c>
      <c r="C95" t="inlineStr">
        <is>
          <t>Marketing</t>
        </is>
      </c>
      <c r="D95" t="inlineStr">
        <is>
          <t>Marketing Executive</t>
        </is>
      </c>
      <c r="E95" t="inlineStr">
        <is>
          <t>Meena Joseph</t>
        </is>
      </c>
      <c r="F95" t="n">
        <v>5</v>
      </c>
      <c r="G95" t="n">
        <v>120</v>
      </c>
      <c r="H95" t="n">
        <v>132</v>
      </c>
      <c r="I95" t="n">
        <v>227</v>
      </c>
      <c r="J95" t="n">
        <v>178</v>
      </c>
      <c r="K95" t="n">
        <v>19</v>
      </c>
      <c r="L95" t="inlineStr">
        <is>
          <t>Exceptional performer</t>
        </is>
      </c>
      <c r="M95" s="2" t="n">
        <v>45931</v>
      </c>
      <c r="N95" s="3">
        <f>IFERROR(J95/I95,0)</f>
        <v/>
      </c>
      <c r="O95" s="3">
        <f>IFERROR(H95/G95,0)</f>
        <v/>
      </c>
      <c r="P95">
        <f>IF(K95&lt;10,"Low",IF(K95&lt;=20,"Medium","High"))</f>
        <v/>
      </c>
      <c r="Q95">
        <f>IF(AND(F95&gt;=4,N95&gt;=80%),"Star Performer",IF(F95&gt;=3,"Meets Expectations","Needs Improvement"))</f>
        <v/>
      </c>
      <c r="R95">
        <f>IF(O95&gt;=90%,"High Productivity",IF(O95&gt;=60%,"Medium Productivity","Low Productivity"))</f>
        <v/>
      </c>
      <c r="S95">
        <f>ROUND((F95/5)*50+N95*25+O95*25,1)</f>
        <v/>
      </c>
    </row>
    <row r="96">
      <c r="A96" t="inlineStr">
        <is>
          <t>EMP1095</t>
        </is>
      </c>
      <c r="B96" t="inlineStr">
        <is>
          <t>Employee 095</t>
        </is>
      </c>
      <c r="C96" t="inlineStr">
        <is>
          <t>Finance</t>
        </is>
      </c>
      <c r="D96" t="inlineStr">
        <is>
          <t>Finance Executive</t>
        </is>
      </c>
      <c r="E96" t="inlineStr">
        <is>
          <t>Divya Iyer</t>
        </is>
      </c>
      <c r="F96" t="n">
        <v>4</v>
      </c>
      <c r="G96" t="n">
        <v>55</v>
      </c>
      <c r="H96" t="n">
        <v>28</v>
      </c>
      <c r="I96" t="n">
        <v>145</v>
      </c>
      <c r="J96" t="n">
        <v>104</v>
      </c>
      <c r="K96" t="n">
        <v>15</v>
      </c>
      <c r="L96" t="inlineStr">
        <is>
          <t>Strong contributor</t>
        </is>
      </c>
      <c r="M96" s="2" t="n">
        <v>45901</v>
      </c>
      <c r="N96" s="3">
        <f>IFERROR(J96/I96,0)</f>
        <v/>
      </c>
      <c r="O96" s="3">
        <f>IFERROR(H96/G96,0)</f>
        <v/>
      </c>
      <c r="P96">
        <f>IF(K96&lt;10,"Low",IF(K96&lt;=20,"Medium","High"))</f>
        <v/>
      </c>
      <c r="Q96">
        <f>IF(AND(F96&gt;=4,N96&gt;=80%),"Star Performer",IF(F96&gt;=3,"Meets Expectations","Needs Improvement"))</f>
        <v/>
      </c>
      <c r="R96">
        <f>IF(O96&gt;=90%,"High Productivity",IF(O96&gt;=60%,"Medium Productivity","Low Productivity"))</f>
        <v/>
      </c>
      <c r="S96">
        <f>ROUND((F96/5)*50+N96*25+O96*25,1)</f>
        <v/>
      </c>
    </row>
    <row r="97">
      <c r="A97" t="inlineStr">
        <is>
          <t>EMP1096</t>
        </is>
      </c>
      <c r="B97" t="inlineStr">
        <is>
          <t>Employee 096</t>
        </is>
      </c>
      <c r="C97" t="inlineStr">
        <is>
          <t>IT</t>
        </is>
      </c>
      <c r="D97" t="inlineStr">
        <is>
          <t>Data Analyst</t>
        </is>
      </c>
      <c r="E97" t="inlineStr">
        <is>
          <t>Rahul Menon</t>
        </is>
      </c>
      <c r="F97" t="n">
        <v>4</v>
      </c>
      <c r="G97" t="n">
        <v>104</v>
      </c>
      <c r="H97" t="n">
        <v>100</v>
      </c>
      <c r="I97" t="n">
        <v>145</v>
      </c>
      <c r="J97" t="n">
        <v>93</v>
      </c>
      <c r="K97" t="n">
        <v>22</v>
      </c>
      <c r="L97" t="inlineStr">
        <is>
          <t>Strong contributor</t>
        </is>
      </c>
      <c r="M97" s="2" t="n">
        <v>45778</v>
      </c>
      <c r="N97" s="3">
        <f>IFERROR(J97/I97,0)</f>
        <v/>
      </c>
      <c r="O97" s="3">
        <f>IFERROR(H97/G97,0)</f>
        <v/>
      </c>
      <c r="P97">
        <f>IF(K97&lt;10,"Low",IF(K97&lt;=20,"Medium","High"))</f>
        <v/>
      </c>
      <c r="Q97">
        <f>IF(AND(F97&gt;=4,N97&gt;=80%),"Star Performer",IF(F97&gt;=3,"Meets Expectations","Needs Improvement"))</f>
        <v/>
      </c>
      <c r="R97">
        <f>IF(O97&gt;=90%,"High Productivity",IF(O97&gt;=60%,"Medium Productivity","Low Productivity"))</f>
        <v/>
      </c>
      <c r="S97">
        <f>ROUND((F97/5)*50+N97*25+O97*25,1)</f>
        <v/>
      </c>
    </row>
    <row r="98">
      <c r="A98" t="inlineStr">
        <is>
          <t>EMP1097</t>
        </is>
      </c>
      <c r="B98" t="inlineStr">
        <is>
          <t>Employee 097</t>
        </is>
      </c>
      <c r="C98" t="inlineStr">
        <is>
          <t>Operations</t>
        </is>
      </c>
      <c r="D98" t="inlineStr">
        <is>
          <t>Process Analyst</t>
        </is>
      </c>
      <c r="E98" t="inlineStr">
        <is>
          <t>Priya Sharma</t>
        </is>
      </c>
      <c r="F98" t="n">
        <v>3</v>
      </c>
      <c r="G98" t="n">
        <v>67</v>
      </c>
      <c r="H98" t="n">
        <v>54</v>
      </c>
      <c r="I98" t="n">
        <v>150</v>
      </c>
      <c r="J98" t="n">
        <v>81</v>
      </c>
      <c r="K98" t="n">
        <v>14</v>
      </c>
      <c r="L98" t="inlineStr">
        <is>
          <t>Meets expectations</t>
        </is>
      </c>
      <c r="M98" s="2" t="n">
        <v>45870</v>
      </c>
      <c r="N98" s="3">
        <f>IFERROR(J98/I98,0)</f>
        <v/>
      </c>
      <c r="O98" s="3">
        <f>IFERROR(H98/G98,0)</f>
        <v/>
      </c>
      <c r="P98">
        <f>IF(K98&lt;10,"Low",IF(K98&lt;=20,"Medium","High"))</f>
        <v/>
      </c>
      <c r="Q98">
        <f>IF(AND(F98&gt;=4,N98&gt;=80%),"Star Performer",IF(F98&gt;=3,"Meets Expectations","Needs Improvement"))</f>
        <v/>
      </c>
      <c r="R98">
        <f>IF(O98&gt;=90%,"High Productivity",IF(O98&gt;=60%,"Medium Productivity","Low Productivity"))</f>
        <v/>
      </c>
      <c r="S98">
        <f>ROUND((F98/5)*50+N98*25+O98*25,1)</f>
        <v/>
      </c>
    </row>
    <row r="99">
      <c r="A99" t="inlineStr">
        <is>
          <t>EMP1098</t>
        </is>
      </c>
      <c r="B99" t="inlineStr">
        <is>
          <t>Employee 098</t>
        </is>
      </c>
      <c r="C99" t="inlineStr">
        <is>
          <t>Finance</t>
        </is>
      </c>
      <c r="D99" t="inlineStr">
        <is>
          <t>Finance Executive</t>
        </is>
      </c>
      <c r="E99" t="inlineStr">
        <is>
          <t>Karthik Rao</t>
        </is>
      </c>
      <c r="F99" t="n">
        <v>5</v>
      </c>
      <c r="G99" t="n">
        <v>77</v>
      </c>
      <c r="H99" t="n">
        <v>63</v>
      </c>
      <c r="I99" t="n">
        <v>156</v>
      </c>
      <c r="J99" t="n">
        <v>131</v>
      </c>
      <c r="K99" t="n">
        <v>42</v>
      </c>
      <c r="L99" t="inlineStr">
        <is>
          <t>Exceptional performer</t>
        </is>
      </c>
      <c r="M99" s="2" t="n">
        <v>45839</v>
      </c>
      <c r="N99" s="3">
        <f>IFERROR(J99/I99,0)</f>
        <v/>
      </c>
      <c r="O99" s="3">
        <f>IFERROR(H99/G99,0)</f>
        <v/>
      </c>
      <c r="P99">
        <f>IF(K99&lt;10,"Low",IF(K99&lt;=20,"Medium","High"))</f>
        <v/>
      </c>
      <c r="Q99">
        <f>IF(AND(F99&gt;=4,N99&gt;=80%),"Star Performer",IF(F99&gt;=3,"Meets Expectations","Needs Improvement"))</f>
        <v/>
      </c>
      <c r="R99">
        <f>IF(O99&gt;=90%,"High Productivity",IF(O99&gt;=60%,"Medium Productivity","Low Productivity"))</f>
        <v/>
      </c>
      <c r="S99">
        <f>ROUND((F99/5)*50+N99*25+O99*25,1)</f>
        <v/>
      </c>
    </row>
    <row r="100">
      <c r="A100" t="inlineStr">
        <is>
          <t>EMP1099</t>
        </is>
      </c>
      <c r="B100" t="inlineStr">
        <is>
          <t>Employee 099</t>
        </is>
      </c>
      <c r="C100" t="inlineStr">
        <is>
          <t>IT</t>
        </is>
      </c>
      <c r="D100" t="inlineStr">
        <is>
          <t>Software Engineer</t>
        </is>
      </c>
      <c r="E100" t="inlineStr">
        <is>
          <t>Karthik Rao</t>
        </is>
      </c>
      <c r="F100" t="n">
        <v>3</v>
      </c>
      <c r="G100" t="n">
        <v>113</v>
      </c>
      <c r="H100" t="n">
        <v>108</v>
      </c>
      <c r="I100" t="n">
        <v>195</v>
      </c>
      <c r="J100" t="n">
        <v>122</v>
      </c>
      <c r="K100" t="n">
        <v>14</v>
      </c>
      <c r="L100" t="inlineStr">
        <is>
          <t>Meets expectations</t>
        </is>
      </c>
      <c r="M100" s="2" t="n">
        <v>45870</v>
      </c>
      <c r="N100" s="3">
        <f>IFERROR(J100/I100,0)</f>
        <v/>
      </c>
      <c r="O100" s="3">
        <f>IFERROR(H100/G100,0)</f>
        <v/>
      </c>
      <c r="P100">
        <f>IF(K100&lt;10,"Low",IF(K100&lt;=20,"Medium","High"))</f>
        <v/>
      </c>
      <c r="Q100">
        <f>IF(AND(F100&gt;=4,N100&gt;=80%),"Star Performer",IF(F100&gt;=3,"Meets Expectations","Needs Improvement"))</f>
        <v/>
      </c>
      <c r="R100">
        <f>IF(O100&gt;=90%,"High Productivity",IF(O100&gt;=60%,"Medium Productivity","Low Productivity"))</f>
        <v/>
      </c>
      <c r="S100">
        <f>ROUND((F100/5)*50+N100*25+O100*25,1)</f>
        <v/>
      </c>
    </row>
    <row r="101">
      <c r="A101" t="inlineStr">
        <is>
          <t>EMP1100</t>
        </is>
      </c>
      <c r="B101" t="inlineStr">
        <is>
          <t>Employee 100</t>
        </is>
      </c>
      <c r="C101" t="inlineStr">
        <is>
          <t>Sales</t>
        </is>
      </c>
      <c r="D101" t="inlineStr">
        <is>
          <t>Sales Executive</t>
        </is>
      </c>
      <c r="E101" t="inlineStr">
        <is>
          <t>Arun Kumar</t>
        </is>
      </c>
      <c r="F101" t="n">
        <v>3</v>
      </c>
      <c r="G101" t="n">
        <v>88</v>
      </c>
      <c r="H101" t="n">
        <v>72</v>
      </c>
      <c r="I101" t="n">
        <v>210</v>
      </c>
      <c r="J101" t="n">
        <v>148</v>
      </c>
      <c r="K101" t="n">
        <v>17</v>
      </c>
      <c r="L101" t="inlineStr">
        <is>
          <t>Meets expectations</t>
        </is>
      </c>
      <c r="M101" s="2" t="n">
        <v>45748</v>
      </c>
      <c r="N101" s="3">
        <f>IFERROR(J101/I101,0)</f>
        <v/>
      </c>
      <c r="O101" s="3">
        <f>IFERROR(H101/G101,0)</f>
        <v/>
      </c>
      <c r="P101">
        <f>IF(K101&lt;10,"Low",IF(K101&lt;=20,"Medium","High"))</f>
        <v/>
      </c>
      <c r="Q101">
        <f>IF(AND(F101&gt;=4,N101&gt;=80%),"Star Performer",IF(F101&gt;=3,"Meets Expectations","Needs Improvement"))</f>
        <v/>
      </c>
      <c r="R101">
        <f>IF(O101&gt;=90%,"High Productivity",IF(O101&gt;=60%,"Medium Productivity","Low Productivity"))</f>
        <v/>
      </c>
      <c r="S101">
        <f>ROUND((F101/5)*50+N101*25+O101*25,1)</f>
        <v/>
      </c>
    </row>
    <row r="102">
      <c r="A102" t="inlineStr">
        <is>
          <t>EMP1101</t>
        </is>
      </c>
      <c r="B102" t="inlineStr">
        <is>
          <t>Employee 101</t>
        </is>
      </c>
      <c r="C102" t="inlineStr">
        <is>
          <t>Finance</t>
        </is>
      </c>
      <c r="D102" t="inlineStr">
        <is>
          <t>Financial Analyst</t>
        </is>
      </c>
      <c r="E102" t="inlineStr">
        <is>
          <t>Meena Joseph</t>
        </is>
      </c>
      <c r="F102" t="n">
        <v>4</v>
      </c>
      <c r="G102" t="n">
        <v>49</v>
      </c>
      <c r="H102" t="n">
        <v>38</v>
      </c>
      <c r="I102" t="n">
        <v>157</v>
      </c>
      <c r="J102" t="n">
        <v>92</v>
      </c>
      <c r="K102" t="n">
        <v>25</v>
      </c>
      <c r="L102" t="inlineStr">
        <is>
          <t>Strong contributor</t>
        </is>
      </c>
      <c r="M102" s="2" t="n">
        <v>45658</v>
      </c>
      <c r="N102" s="3">
        <f>IFERROR(J102/I102,0)</f>
        <v/>
      </c>
      <c r="O102" s="3">
        <f>IFERROR(H102/G102,0)</f>
        <v/>
      </c>
      <c r="P102">
        <f>IF(K102&lt;10,"Low",IF(K102&lt;=20,"Medium","High"))</f>
        <v/>
      </c>
      <c r="Q102">
        <f>IF(AND(F102&gt;=4,N102&gt;=80%),"Star Performer",IF(F102&gt;=3,"Meets Expectations","Needs Improvement"))</f>
        <v/>
      </c>
      <c r="R102">
        <f>IF(O102&gt;=90%,"High Productivity",IF(O102&gt;=60%,"Medium Productivity","Low Productivity"))</f>
        <v/>
      </c>
      <c r="S102">
        <f>ROUND((F102/5)*50+N102*25+O102*25,1)</f>
        <v/>
      </c>
    </row>
    <row r="103">
      <c r="A103" t="inlineStr">
        <is>
          <t>EMP1102</t>
        </is>
      </c>
      <c r="B103" t="inlineStr">
        <is>
          <t>Employee 102</t>
        </is>
      </c>
      <c r="C103" t="inlineStr">
        <is>
          <t>Marketing</t>
        </is>
      </c>
      <c r="D103" t="inlineStr">
        <is>
          <t>Marketing Executive</t>
        </is>
      </c>
      <c r="E103" t="inlineStr">
        <is>
          <t>Divya Iyer</t>
        </is>
      </c>
      <c r="F103" t="n">
        <v>4</v>
      </c>
      <c r="G103" t="n">
        <v>113</v>
      </c>
      <c r="H103" t="n">
        <v>81</v>
      </c>
      <c r="I103" t="n">
        <v>153</v>
      </c>
      <c r="J103" t="n">
        <v>135</v>
      </c>
      <c r="K103" t="n">
        <v>17</v>
      </c>
      <c r="L103" t="inlineStr">
        <is>
          <t>Strong contributor</t>
        </is>
      </c>
      <c r="M103" s="2" t="n">
        <v>45901</v>
      </c>
      <c r="N103" s="3">
        <f>IFERROR(J103/I103,0)</f>
        <v/>
      </c>
      <c r="O103" s="3">
        <f>IFERROR(H103/G103,0)</f>
        <v/>
      </c>
      <c r="P103">
        <f>IF(K103&lt;10,"Low",IF(K103&lt;=20,"Medium","High"))</f>
        <v/>
      </c>
      <c r="Q103">
        <f>IF(AND(F103&gt;=4,N103&gt;=80%),"Star Performer",IF(F103&gt;=3,"Meets Expectations","Needs Improvement"))</f>
        <v/>
      </c>
      <c r="R103">
        <f>IF(O103&gt;=90%,"High Productivity",IF(O103&gt;=60%,"Medium Productivity","Low Productivity"))</f>
        <v/>
      </c>
      <c r="S103">
        <f>ROUND((F103/5)*50+N103*25+O103*25,1)</f>
        <v/>
      </c>
    </row>
    <row r="104">
      <c r="A104" t="inlineStr">
        <is>
          <t>EMP1103</t>
        </is>
      </c>
      <c r="B104" t="inlineStr">
        <is>
          <t>Employee 103</t>
        </is>
      </c>
      <c r="C104" t="inlineStr">
        <is>
          <t>Operations</t>
        </is>
      </c>
      <c r="D104" t="inlineStr">
        <is>
          <t>Process Analyst</t>
        </is>
      </c>
      <c r="E104" t="inlineStr">
        <is>
          <t>Meena Joseph</t>
        </is>
      </c>
      <c r="F104" t="n">
        <v>4</v>
      </c>
      <c r="G104" t="n">
        <v>113</v>
      </c>
      <c r="H104" t="n">
        <v>84</v>
      </c>
      <c r="I104" t="n">
        <v>188</v>
      </c>
      <c r="J104" t="n">
        <v>159</v>
      </c>
      <c r="K104" t="n">
        <v>17</v>
      </c>
      <c r="L104" t="inlineStr">
        <is>
          <t>Strong contributor</t>
        </is>
      </c>
      <c r="M104" s="2" t="n">
        <v>45809</v>
      </c>
      <c r="N104" s="3">
        <f>IFERROR(J104/I104,0)</f>
        <v/>
      </c>
      <c r="O104" s="3">
        <f>IFERROR(H104/G104,0)</f>
        <v/>
      </c>
      <c r="P104">
        <f>IF(K104&lt;10,"Low",IF(K104&lt;=20,"Medium","High"))</f>
        <v/>
      </c>
      <c r="Q104">
        <f>IF(AND(F104&gt;=4,N104&gt;=80%),"Star Performer",IF(F104&gt;=3,"Meets Expectations","Needs Improvement"))</f>
        <v/>
      </c>
      <c r="R104">
        <f>IF(O104&gt;=90%,"High Productivity",IF(O104&gt;=60%,"Medium Productivity","Low Productivity"))</f>
        <v/>
      </c>
      <c r="S104">
        <f>ROUND((F104/5)*50+N104*25+O104*25,1)</f>
        <v/>
      </c>
    </row>
    <row r="105">
      <c r="A105" t="inlineStr">
        <is>
          <t>EMP1104</t>
        </is>
      </c>
      <c r="B105" t="inlineStr">
        <is>
          <t>Employee 104</t>
        </is>
      </c>
      <c r="C105" t="inlineStr">
        <is>
          <t>HR</t>
        </is>
      </c>
      <c r="D105" t="inlineStr">
        <is>
          <t>HR Analyst</t>
        </is>
      </c>
      <c r="E105" t="inlineStr">
        <is>
          <t>Arun Kumar</t>
        </is>
      </c>
      <c r="F105" t="n">
        <v>3</v>
      </c>
      <c r="G105" t="n">
        <v>69</v>
      </c>
      <c r="H105" t="n">
        <v>54</v>
      </c>
      <c r="I105" t="n">
        <v>229</v>
      </c>
      <c r="J105" t="n">
        <v>170</v>
      </c>
      <c r="K105" t="n">
        <v>16</v>
      </c>
      <c r="L105" t="inlineStr">
        <is>
          <t>Meets expectations</t>
        </is>
      </c>
      <c r="M105" s="2" t="n">
        <v>45962</v>
      </c>
      <c r="N105" s="3">
        <f>IFERROR(J105/I105,0)</f>
        <v/>
      </c>
      <c r="O105" s="3">
        <f>IFERROR(H105/G105,0)</f>
        <v/>
      </c>
      <c r="P105">
        <f>IF(K105&lt;10,"Low",IF(K105&lt;=20,"Medium","High"))</f>
        <v/>
      </c>
      <c r="Q105">
        <f>IF(AND(F105&gt;=4,N105&gt;=80%),"Star Performer",IF(F105&gt;=3,"Meets Expectations","Needs Improvement"))</f>
        <v/>
      </c>
      <c r="R105">
        <f>IF(O105&gt;=90%,"High Productivity",IF(O105&gt;=60%,"Medium Productivity","Low Productivity"))</f>
        <v/>
      </c>
      <c r="S105">
        <f>ROUND((F105/5)*50+N105*25+O105*25,1)</f>
        <v/>
      </c>
    </row>
    <row r="106">
      <c r="A106" t="inlineStr">
        <is>
          <t>EMP1105</t>
        </is>
      </c>
      <c r="B106" t="inlineStr">
        <is>
          <t>Employee 105</t>
        </is>
      </c>
      <c r="C106" t="inlineStr">
        <is>
          <t>IT</t>
        </is>
      </c>
      <c r="D106" t="inlineStr">
        <is>
          <t>Software Engineer</t>
        </is>
      </c>
      <c r="E106" t="inlineStr">
        <is>
          <t>Priya Sharma</t>
        </is>
      </c>
      <c r="F106" t="n">
        <v>5</v>
      </c>
      <c r="G106" t="n">
        <v>88</v>
      </c>
      <c r="H106" t="n">
        <v>84</v>
      </c>
      <c r="I106" t="n">
        <v>223</v>
      </c>
      <c r="J106" t="n">
        <v>169</v>
      </c>
      <c r="K106" t="n">
        <v>16</v>
      </c>
      <c r="L106" t="inlineStr">
        <is>
          <t>Exceptional performer</t>
        </is>
      </c>
      <c r="M106" s="2" t="n">
        <v>45658</v>
      </c>
      <c r="N106" s="3">
        <f>IFERROR(J106/I106,0)</f>
        <v/>
      </c>
      <c r="O106" s="3">
        <f>IFERROR(H106/G106,0)</f>
        <v/>
      </c>
      <c r="P106">
        <f>IF(K106&lt;10,"Low",IF(K106&lt;=20,"Medium","High"))</f>
        <v/>
      </c>
      <c r="Q106">
        <f>IF(AND(F106&gt;=4,N106&gt;=80%),"Star Performer",IF(F106&gt;=3,"Meets Expectations","Needs Improvement"))</f>
        <v/>
      </c>
      <c r="R106">
        <f>IF(O106&gt;=90%,"High Productivity",IF(O106&gt;=60%,"Medium Productivity","Low Productivity"))</f>
        <v/>
      </c>
      <c r="S106">
        <f>ROUND((F106/5)*50+N106*25+O106*25,1)</f>
        <v/>
      </c>
    </row>
    <row r="107">
      <c r="A107" t="inlineStr">
        <is>
          <t>EMP1106</t>
        </is>
      </c>
      <c r="B107" t="inlineStr">
        <is>
          <t>Employee 106</t>
        </is>
      </c>
      <c r="C107" t="inlineStr">
        <is>
          <t>Marketing</t>
        </is>
      </c>
      <c r="D107" t="inlineStr">
        <is>
          <t>Digital Marketing Analyst</t>
        </is>
      </c>
      <c r="E107" t="inlineStr">
        <is>
          <t>Arun Kumar</t>
        </is>
      </c>
      <c r="F107" t="n">
        <v>1</v>
      </c>
      <c r="G107" t="n">
        <v>70</v>
      </c>
      <c r="H107" t="n">
        <v>31</v>
      </c>
      <c r="I107" t="n">
        <v>230</v>
      </c>
      <c r="J107" t="n">
        <v>169</v>
      </c>
      <c r="K107" t="n">
        <v>20</v>
      </c>
      <c r="L107" t="inlineStr">
        <is>
          <t>Needs close supervision</t>
        </is>
      </c>
      <c r="M107" s="2" t="n">
        <v>45809</v>
      </c>
      <c r="N107" s="3">
        <f>IFERROR(J107/I107,0)</f>
        <v/>
      </c>
      <c r="O107" s="3">
        <f>IFERROR(H107/G107,0)</f>
        <v/>
      </c>
      <c r="P107">
        <f>IF(K107&lt;10,"Low",IF(K107&lt;=20,"Medium","High"))</f>
        <v/>
      </c>
      <c r="Q107">
        <f>IF(AND(F107&gt;=4,N107&gt;=80%),"Star Performer",IF(F107&gt;=3,"Meets Expectations","Needs Improvement"))</f>
        <v/>
      </c>
      <c r="R107">
        <f>IF(O107&gt;=90%,"High Productivity",IF(O107&gt;=60%,"Medium Productivity","Low Productivity"))</f>
        <v/>
      </c>
      <c r="S107">
        <f>ROUND((F107/5)*50+N107*25+O107*25,1)</f>
        <v/>
      </c>
    </row>
    <row r="108">
      <c r="A108" t="inlineStr">
        <is>
          <t>EMP1107</t>
        </is>
      </c>
      <c r="B108" t="inlineStr">
        <is>
          <t>Employee 107</t>
        </is>
      </c>
      <c r="C108" t="inlineStr">
        <is>
          <t>Customer Support</t>
        </is>
      </c>
      <c r="D108" t="inlineStr">
        <is>
          <t>Support Analyst</t>
        </is>
      </c>
      <c r="E108" t="inlineStr">
        <is>
          <t>Meena Joseph</t>
        </is>
      </c>
      <c r="F108" t="n">
        <v>5</v>
      </c>
      <c r="G108" t="n">
        <v>99</v>
      </c>
      <c r="H108" t="n">
        <v>102</v>
      </c>
      <c r="I108" t="n">
        <v>179</v>
      </c>
      <c r="J108" t="n">
        <v>137</v>
      </c>
      <c r="K108" t="n">
        <v>21</v>
      </c>
      <c r="L108" t="inlineStr">
        <is>
          <t>Exceptional performer</t>
        </is>
      </c>
      <c r="M108" s="2" t="n">
        <v>45870</v>
      </c>
      <c r="N108" s="3">
        <f>IFERROR(J108/I108,0)</f>
        <v/>
      </c>
      <c r="O108" s="3">
        <f>IFERROR(H108/G108,0)</f>
        <v/>
      </c>
      <c r="P108">
        <f>IF(K108&lt;10,"Low",IF(K108&lt;=20,"Medium","High"))</f>
        <v/>
      </c>
      <c r="Q108">
        <f>IF(AND(F108&gt;=4,N108&gt;=80%),"Star Performer",IF(F108&gt;=3,"Meets Expectations","Needs Improvement"))</f>
        <v/>
      </c>
      <c r="R108">
        <f>IF(O108&gt;=90%,"High Productivity",IF(O108&gt;=60%,"Medium Productivity","Low Productivity"))</f>
        <v/>
      </c>
      <c r="S108">
        <f>ROUND((F108/5)*50+N108*25+O108*25,1)</f>
        <v/>
      </c>
    </row>
    <row r="109">
      <c r="A109" t="inlineStr">
        <is>
          <t>EMP1108</t>
        </is>
      </c>
      <c r="B109" t="inlineStr">
        <is>
          <t>Employee 108</t>
        </is>
      </c>
      <c r="C109" t="inlineStr">
        <is>
          <t>Operations</t>
        </is>
      </c>
      <c r="D109" t="inlineStr">
        <is>
          <t>Process Analyst</t>
        </is>
      </c>
      <c r="E109" t="inlineStr">
        <is>
          <t>Meena Joseph</t>
        </is>
      </c>
      <c r="F109" t="n">
        <v>4</v>
      </c>
      <c r="G109" t="n">
        <v>100</v>
      </c>
      <c r="H109" t="n">
        <v>83</v>
      </c>
      <c r="I109" t="n">
        <v>178</v>
      </c>
      <c r="J109" t="n">
        <v>132</v>
      </c>
      <c r="K109" t="n">
        <v>20</v>
      </c>
      <c r="L109" t="inlineStr">
        <is>
          <t>Strong contributor</t>
        </is>
      </c>
      <c r="M109" s="2" t="n">
        <v>45839</v>
      </c>
      <c r="N109" s="3">
        <f>IFERROR(J109/I109,0)</f>
        <v/>
      </c>
      <c r="O109" s="3">
        <f>IFERROR(H109/G109,0)</f>
        <v/>
      </c>
      <c r="P109">
        <f>IF(K109&lt;10,"Low",IF(K109&lt;=20,"Medium","High"))</f>
        <v/>
      </c>
      <c r="Q109">
        <f>IF(AND(F109&gt;=4,N109&gt;=80%),"Star Performer",IF(F109&gt;=3,"Meets Expectations","Needs Improvement"))</f>
        <v/>
      </c>
      <c r="R109">
        <f>IF(O109&gt;=90%,"High Productivity",IF(O109&gt;=60%,"Medium Productivity","Low Productivity"))</f>
        <v/>
      </c>
      <c r="S109">
        <f>ROUND((F109/5)*50+N109*25+O109*25,1)</f>
        <v/>
      </c>
    </row>
    <row r="110">
      <c r="A110" t="inlineStr">
        <is>
          <t>EMP1109</t>
        </is>
      </c>
      <c r="B110" t="inlineStr">
        <is>
          <t>Employee 109</t>
        </is>
      </c>
      <c r="C110" t="inlineStr">
        <is>
          <t>HR</t>
        </is>
      </c>
      <c r="D110" t="inlineStr">
        <is>
          <t>HR Executive</t>
        </is>
      </c>
      <c r="E110" t="inlineStr">
        <is>
          <t>Meena Joseph</t>
        </is>
      </c>
      <c r="F110" t="n">
        <v>2</v>
      </c>
      <c r="G110" t="n">
        <v>41</v>
      </c>
      <c r="H110" t="n">
        <v>28</v>
      </c>
      <c r="I110" t="n">
        <v>149</v>
      </c>
      <c r="J110" t="n">
        <v>68</v>
      </c>
      <c r="K110" t="n">
        <v>10</v>
      </c>
      <c r="L110" t="inlineStr">
        <is>
          <t>Needs additional guidance</t>
        </is>
      </c>
      <c r="M110" s="2" t="n">
        <v>45809</v>
      </c>
      <c r="N110" s="3">
        <f>IFERROR(J110/I110,0)</f>
        <v/>
      </c>
      <c r="O110" s="3">
        <f>IFERROR(H110/G110,0)</f>
        <v/>
      </c>
      <c r="P110">
        <f>IF(K110&lt;10,"Low",IF(K110&lt;=20,"Medium","High"))</f>
        <v/>
      </c>
      <c r="Q110">
        <f>IF(AND(F110&gt;=4,N110&gt;=80%),"Star Performer",IF(F110&gt;=3,"Meets Expectations","Needs Improvement"))</f>
        <v/>
      </c>
      <c r="R110">
        <f>IF(O110&gt;=90%,"High Productivity",IF(O110&gt;=60%,"Medium Productivity","Low Productivity"))</f>
        <v/>
      </c>
      <c r="S110">
        <f>ROUND((F110/5)*50+N110*25+O110*25,1)</f>
        <v/>
      </c>
    </row>
    <row r="111">
      <c r="A111" t="inlineStr">
        <is>
          <t>EMP1110</t>
        </is>
      </c>
      <c r="B111" t="inlineStr">
        <is>
          <t>Employee 110</t>
        </is>
      </c>
      <c r="C111" t="inlineStr">
        <is>
          <t>Operations</t>
        </is>
      </c>
      <c r="D111" t="inlineStr">
        <is>
          <t>Operations Manager</t>
        </is>
      </c>
      <c r="E111" t="inlineStr">
        <is>
          <t>Arun Kumar</t>
        </is>
      </c>
      <c r="F111" t="n">
        <v>4</v>
      </c>
      <c r="G111" t="n">
        <v>117</v>
      </c>
      <c r="H111" t="n">
        <v>106</v>
      </c>
      <c r="I111" t="n">
        <v>183</v>
      </c>
      <c r="J111" t="n">
        <v>123</v>
      </c>
      <c r="K111" t="n">
        <v>30</v>
      </c>
      <c r="L111" t="inlineStr">
        <is>
          <t>Strong contributor</t>
        </is>
      </c>
      <c r="M111" s="2" t="n">
        <v>45689</v>
      </c>
      <c r="N111" s="3">
        <f>IFERROR(J111/I111,0)</f>
        <v/>
      </c>
      <c r="O111" s="3">
        <f>IFERROR(H111/G111,0)</f>
        <v/>
      </c>
      <c r="P111">
        <f>IF(K111&lt;10,"Low",IF(K111&lt;=20,"Medium","High"))</f>
        <v/>
      </c>
      <c r="Q111">
        <f>IF(AND(F111&gt;=4,N111&gt;=80%),"Star Performer",IF(F111&gt;=3,"Meets Expectations","Needs Improvement"))</f>
        <v/>
      </c>
      <c r="R111">
        <f>IF(O111&gt;=90%,"High Productivity",IF(O111&gt;=60%,"Medium Productivity","Low Productivity"))</f>
        <v/>
      </c>
      <c r="S111">
        <f>ROUND((F111/5)*50+N111*25+O111*25,1)</f>
        <v/>
      </c>
    </row>
    <row r="112">
      <c r="A112" t="inlineStr">
        <is>
          <t>EMP1111</t>
        </is>
      </c>
      <c r="B112" t="inlineStr">
        <is>
          <t>Employee 111</t>
        </is>
      </c>
      <c r="C112" t="inlineStr">
        <is>
          <t>Finance</t>
        </is>
      </c>
      <c r="D112" t="inlineStr">
        <is>
          <t>Finance Executive</t>
        </is>
      </c>
      <c r="E112" t="inlineStr">
        <is>
          <t>Karthik Rao</t>
        </is>
      </c>
      <c r="F112" t="n">
        <v>5</v>
      </c>
      <c r="G112" t="n">
        <v>87</v>
      </c>
      <c r="H112" t="n">
        <v>92</v>
      </c>
      <c r="I112" t="n">
        <v>228</v>
      </c>
      <c r="J112" t="n">
        <v>205</v>
      </c>
      <c r="K112" t="n">
        <v>25</v>
      </c>
      <c r="L112" t="inlineStr">
        <is>
          <t>Exceptional performer</t>
        </is>
      </c>
      <c r="M112" s="2" t="n">
        <v>45809</v>
      </c>
      <c r="N112" s="3">
        <f>IFERROR(J112/I112,0)</f>
        <v/>
      </c>
      <c r="O112" s="3">
        <f>IFERROR(H112/G112,0)</f>
        <v/>
      </c>
      <c r="P112">
        <f>IF(K112&lt;10,"Low",IF(K112&lt;=20,"Medium","High"))</f>
        <v/>
      </c>
      <c r="Q112">
        <f>IF(AND(F112&gt;=4,N112&gt;=80%),"Star Performer",IF(F112&gt;=3,"Meets Expectations","Needs Improvement"))</f>
        <v/>
      </c>
      <c r="R112">
        <f>IF(O112&gt;=90%,"High Productivity",IF(O112&gt;=60%,"Medium Productivity","Low Productivity"))</f>
        <v/>
      </c>
      <c r="S112">
        <f>ROUND((F112/5)*50+N112*25+O112*25,1)</f>
        <v/>
      </c>
    </row>
    <row r="113">
      <c r="A113" t="inlineStr">
        <is>
          <t>EMP1112</t>
        </is>
      </c>
      <c r="B113" t="inlineStr">
        <is>
          <t>Employee 112</t>
        </is>
      </c>
      <c r="C113" t="inlineStr">
        <is>
          <t>Operations</t>
        </is>
      </c>
      <c r="D113" t="inlineStr">
        <is>
          <t>Process Analyst</t>
        </is>
      </c>
      <c r="E113" t="inlineStr">
        <is>
          <t>Arun Kumar</t>
        </is>
      </c>
      <c r="F113" t="n">
        <v>3</v>
      </c>
      <c r="G113" t="n">
        <v>120</v>
      </c>
      <c r="H113" t="n">
        <v>75</v>
      </c>
      <c r="I113" t="n">
        <v>187</v>
      </c>
      <c r="J113" t="n">
        <v>168</v>
      </c>
      <c r="K113" t="n">
        <v>18</v>
      </c>
      <c r="L113" t="inlineStr">
        <is>
          <t>Meets expectations</t>
        </is>
      </c>
      <c r="M113" s="2" t="n">
        <v>45689</v>
      </c>
      <c r="N113" s="3">
        <f>IFERROR(J113/I113,0)</f>
        <v/>
      </c>
      <c r="O113" s="3">
        <f>IFERROR(H113/G113,0)</f>
        <v/>
      </c>
      <c r="P113">
        <f>IF(K113&lt;10,"Low",IF(K113&lt;=20,"Medium","High"))</f>
        <v/>
      </c>
      <c r="Q113">
        <f>IF(AND(F113&gt;=4,N113&gt;=80%),"Star Performer",IF(F113&gt;=3,"Meets Expectations","Needs Improvement"))</f>
        <v/>
      </c>
      <c r="R113">
        <f>IF(O113&gt;=90%,"High Productivity",IF(O113&gt;=60%,"Medium Productivity","Low Productivity"))</f>
        <v/>
      </c>
      <c r="S113">
        <f>ROUND((F113/5)*50+N113*25+O113*25,1)</f>
        <v/>
      </c>
    </row>
    <row r="114">
      <c r="A114" t="inlineStr">
        <is>
          <t>EMP1113</t>
        </is>
      </c>
      <c r="B114" t="inlineStr">
        <is>
          <t>Employee 113</t>
        </is>
      </c>
      <c r="C114" t="inlineStr">
        <is>
          <t>Customer Support</t>
        </is>
      </c>
      <c r="D114" t="inlineStr">
        <is>
          <t>Customer Success Associate</t>
        </is>
      </c>
      <c r="E114" t="inlineStr">
        <is>
          <t>Meena Joseph</t>
        </is>
      </c>
      <c r="F114" t="n">
        <v>1</v>
      </c>
      <c r="G114" t="n">
        <v>74</v>
      </c>
      <c r="H114" t="n">
        <v>62</v>
      </c>
      <c r="I114" t="n">
        <v>202</v>
      </c>
      <c r="J114" t="n">
        <v>131</v>
      </c>
      <c r="K114" t="n">
        <v>2</v>
      </c>
      <c r="L114" t="inlineStr">
        <is>
          <t>Needs close supervision</t>
        </is>
      </c>
      <c r="M114" s="2" t="n">
        <v>45809</v>
      </c>
      <c r="N114" s="3">
        <f>IFERROR(J114/I114,0)</f>
        <v/>
      </c>
      <c r="O114" s="3">
        <f>IFERROR(H114/G114,0)</f>
        <v/>
      </c>
      <c r="P114">
        <f>IF(K114&lt;10,"Low",IF(K114&lt;=20,"Medium","High"))</f>
        <v/>
      </c>
      <c r="Q114">
        <f>IF(AND(F114&gt;=4,N114&gt;=80%),"Star Performer",IF(F114&gt;=3,"Meets Expectations","Needs Improvement"))</f>
        <v/>
      </c>
      <c r="R114">
        <f>IF(O114&gt;=90%,"High Productivity",IF(O114&gt;=60%,"Medium Productivity","Low Productivity"))</f>
        <v/>
      </c>
      <c r="S114">
        <f>ROUND((F114/5)*50+N114*25+O114*25,1)</f>
        <v/>
      </c>
    </row>
    <row r="115">
      <c r="A115" t="inlineStr">
        <is>
          <t>EMP1114</t>
        </is>
      </c>
      <c r="B115" t="inlineStr">
        <is>
          <t>Employee 114</t>
        </is>
      </c>
      <c r="C115" t="inlineStr">
        <is>
          <t>Sales</t>
        </is>
      </c>
      <c r="D115" t="inlineStr">
        <is>
          <t>Sales Manager</t>
        </is>
      </c>
      <c r="E115" t="inlineStr">
        <is>
          <t>Divya Iyer</t>
        </is>
      </c>
      <c r="F115" t="n">
        <v>3</v>
      </c>
      <c r="G115" t="n">
        <v>96</v>
      </c>
      <c r="H115" t="n">
        <v>60</v>
      </c>
      <c r="I115" t="n">
        <v>200</v>
      </c>
      <c r="J115" t="n">
        <v>144</v>
      </c>
      <c r="K115" t="n">
        <v>25</v>
      </c>
      <c r="L115" t="inlineStr">
        <is>
          <t>Meets expectations</t>
        </is>
      </c>
      <c r="M115" s="2" t="n">
        <v>45901</v>
      </c>
      <c r="N115" s="3">
        <f>IFERROR(J115/I115,0)</f>
        <v/>
      </c>
      <c r="O115" s="3">
        <f>IFERROR(H115/G115,0)</f>
        <v/>
      </c>
      <c r="P115">
        <f>IF(K115&lt;10,"Low",IF(K115&lt;=20,"Medium","High"))</f>
        <v/>
      </c>
      <c r="Q115">
        <f>IF(AND(F115&gt;=4,N115&gt;=80%),"Star Performer",IF(F115&gt;=3,"Meets Expectations","Needs Improvement"))</f>
        <v/>
      </c>
      <c r="R115">
        <f>IF(O115&gt;=90%,"High Productivity",IF(O115&gt;=60%,"Medium Productivity","Low Productivity"))</f>
        <v/>
      </c>
      <c r="S115">
        <f>ROUND((F115/5)*50+N115*25+O115*25,1)</f>
        <v/>
      </c>
    </row>
    <row r="116">
      <c r="A116" t="inlineStr">
        <is>
          <t>EMP1115</t>
        </is>
      </c>
      <c r="B116" t="inlineStr">
        <is>
          <t>Employee 115</t>
        </is>
      </c>
      <c r="C116" t="inlineStr">
        <is>
          <t>Customer Support</t>
        </is>
      </c>
      <c r="D116" t="inlineStr">
        <is>
          <t>Support Analyst</t>
        </is>
      </c>
      <c r="E116" t="inlineStr">
        <is>
          <t>Meena Joseph</t>
        </is>
      </c>
      <c r="F116" t="n">
        <v>3</v>
      </c>
      <c r="G116" t="n">
        <v>106</v>
      </c>
      <c r="H116" t="n">
        <v>89</v>
      </c>
      <c r="I116" t="n">
        <v>165</v>
      </c>
      <c r="J116" t="n">
        <v>76</v>
      </c>
      <c r="K116" t="n">
        <v>24</v>
      </c>
      <c r="L116" t="inlineStr">
        <is>
          <t>Meets expectations</t>
        </is>
      </c>
      <c r="M116" s="2" t="n">
        <v>45689</v>
      </c>
      <c r="N116" s="3">
        <f>IFERROR(J116/I116,0)</f>
        <v/>
      </c>
      <c r="O116" s="3">
        <f>IFERROR(H116/G116,0)</f>
        <v/>
      </c>
      <c r="P116">
        <f>IF(K116&lt;10,"Low",IF(K116&lt;=20,"Medium","High"))</f>
        <v/>
      </c>
      <c r="Q116">
        <f>IF(AND(F116&gt;=4,N116&gt;=80%),"Star Performer",IF(F116&gt;=3,"Meets Expectations","Needs Improvement"))</f>
        <v/>
      </c>
      <c r="R116">
        <f>IF(O116&gt;=90%,"High Productivity",IF(O116&gt;=60%,"Medium Productivity","Low Productivity"))</f>
        <v/>
      </c>
      <c r="S116">
        <f>ROUND((F116/5)*50+N116*25+O116*25,1)</f>
        <v/>
      </c>
    </row>
    <row r="117">
      <c r="A117" t="inlineStr">
        <is>
          <t>EMP1116</t>
        </is>
      </c>
      <c r="B117" t="inlineStr">
        <is>
          <t>Employee 116</t>
        </is>
      </c>
      <c r="C117" t="inlineStr">
        <is>
          <t>Finance</t>
        </is>
      </c>
      <c r="D117" t="inlineStr">
        <is>
          <t>Finance Executive</t>
        </is>
      </c>
      <c r="E117" t="inlineStr">
        <is>
          <t>Priya Sharma</t>
        </is>
      </c>
      <c r="F117" t="n">
        <v>3</v>
      </c>
      <c r="G117" t="n">
        <v>78</v>
      </c>
      <c r="H117" t="n">
        <v>64</v>
      </c>
      <c r="I117" t="n">
        <v>224</v>
      </c>
      <c r="J117" t="n">
        <v>155</v>
      </c>
      <c r="K117" t="n">
        <v>8</v>
      </c>
      <c r="L117" t="inlineStr">
        <is>
          <t>Meets expectations</t>
        </is>
      </c>
      <c r="M117" s="2" t="n">
        <v>45689</v>
      </c>
      <c r="N117" s="3">
        <f>IFERROR(J117/I117,0)</f>
        <v/>
      </c>
      <c r="O117" s="3">
        <f>IFERROR(H117/G117,0)</f>
        <v/>
      </c>
      <c r="P117">
        <f>IF(K117&lt;10,"Low",IF(K117&lt;=20,"Medium","High"))</f>
        <v/>
      </c>
      <c r="Q117">
        <f>IF(AND(F117&gt;=4,N117&gt;=80%),"Star Performer",IF(F117&gt;=3,"Meets Expectations","Needs Improvement"))</f>
        <v/>
      </c>
      <c r="R117">
        <f>IF(O117&gt;=90%,"High Productivity",IF(O117&gt;=60%,"Medium Productivity","Low Productivity"))</f>
        <v/>
      </c>
      <c r="S117">
        <f>ROUND((F117/5)*50+N117*25+O117*25,1)</f>
        <v/>
      </c>
    </row>
    <row r="118">
      <c r="A118" t="inlineStr">
        <is>
          <t>EMP1117</t>
        </is>
      </c>
      <c r="B118" t="inlineStr">
        <is>
          <t>Employee 117</t>
        </is>
      </c>
      <c r="C118" t="inlineStr">
        <is>
          <t>Sales</t>
        </is>
      </c>
      <c r="D118" t="inlineStr">
        <is>
          <t>Sales Manager</t>
        </is>
      </c>
      <c r="E118" t="inlineStr">
        <is>
          <t>Divya Iyer</t>
        </is>
      </c>
      <c r="F118" t="n">
        <v>3</v>
      </c>
      <c r="G118" t="n">
        <v>49</v>
      </c>
      <c r="H118" t="n">
        <v>24</v>
      </c>
      <c r="I118" t="n">
        <v>215</v>
      </c>
      <c r="J118" t="n">
        <v>187</v>
      </c>
      <c r="K118" t="n">
        <v>17</v>
      </c>
      <c r="L118" t="inlineStr">
        <is>
          <t>Meets expectations</t>
        </is>
      </c>
      <c r="M118" s="2" t="n">
        <v>45658</v>
      </c>
      <c r="N118" s="3">
        <f>IFERROR(J118/I118,0)</f>
        <v/>
      </c>
      <c r="O118" s="3">
        <f>IFERROR(H118/G118,0)</f>
        <v/>
      </c>
      <c r="P118">
        <f>IF(K118&lt;10,"Low",IF(K118&lt;=20,"Medium","High"))</f>
        <v/>
      </c>
      <c r="Q118">
        <f>IF(AND(F118&gt;=4,N118&gt;=80%),"Star Performer",IF(F118&gt;=3,"Meets Expectations","Needs Improvement"))</f>
        <v/>
      </c>
      <c r="R118">
        <f>IF(O118&gt;=90%,"High Productivity",IF(O118&gt;=60%,"Medium Productivity","Low Productivity"))</f>
        <v/>
      </c>
      <c r="S118">
        <f>ROUND((F118/5)*50+N118*25+O118*25,1)</f>
        <v/>
      </c>
    </row>
    <row r="119">
      <c r="A119" t="inlineStr">
        <is>
          <t>EMP1118</t>
        </is>
      </c>
      <c r="B119" t="inlineStr">
        <is>
          <t>Employee 118</t>
        </is>
      </c>
      <c r="C119" t="inlineStr">
        <is>
          <t>HR</t>
        </is>
      </c>
      <c r="D119" t="inlineStr">
        <is>
          <t>Recruiter</t>
        </is>
      </c>
      <c r="E119" t="inlineStr">
        <is>
          <t>Arun Kumar</t>
        </is>
      </c>
      <c r="F119" t="n">
        <v>3</v>
      </c>
      <c r="G119" t="n">
        <v>50</v>
      </c>
      <c r="H119" t="n">
        <v>43</v>
      </c>
      <c r="I119" t="n">
        <v>181</v>
      </c>
      <c r="J119" t="n">
        <v>114</v>
      </c>
      <c r="K119" t="n">
        <v>21</v>
      </c>
      <c r="L119" t="inlineStr">
        <is>
          <t>Meets expectations</t>
        </is>
      </c>
      <c r="M119" s="2" t="n">
        <v>45931</v>
      </c>
      <c r="N119" s="3">
        <f>IFERROR(J119/I119,0)</f>
        <v/>
      </c>
      <c r="O119" s="3">
        <f>IFERROR(H119/G119,0)</f>
        <v/>
      </c>
      <c r="P119">
        <f>IF(K119&lt;10,"Low",IF(K119&lt;=20,"Medium","High"))</f>
        <v/>
      </c>
      <c r="Q119">
        <f>IF(AND(F119&gt;=4,N119&gt;=80%),"Star Performer",IF(F119&gt;=3,"Meets Expectations","Needs Improvement"))</f>
        <v/>
      </c>
      <c r="R119">
        <f>IF(O119&gt;=90%,"High Productivity",IF(O119&gt;=60%,"Medium Productivity","Low Productivity"))</f>
        <v/>
      </c>
      <c r="S119">
        <f>ROUND((F119/5)*50+N119*25+O119*25,1)</f>
        <v/>
      </c>
    </row>
    <row r="120">
      <c r="A120" t="inlineStr">
        <is>
          <t>EMP1119</t>
        </is>
      </c>
      <c r="B120" t="inlineStr">
        <is>
          <t>Employee 119</t>
        </is>
      </c>
      <c r="C120" t="inlineStr">
        <is>
          <t>IT</t>
        </is>
      </c>
      <c r="D120" t="inlineStr">
        <is>
          <t>Software Engineer</t>
        </is>
      </c>
      <c r="E120" t="inlineStr">
        <is>
          <t>Meena Joseph</t>
        </is>
      </c>
      <c r="F120" t="n">
        <v>3</v>
      </c>
      <c r="G120" t="n">
        <v>44</v>
      </c>
      <c r="H120" t="n">
        <v>35</v>
      </c>
      <c r="I120" t="n">
        <v>186</v>
      </c>
      <c r="J120" t="n">
        <v>128</v>
      </c>
      <c r="K120" t="n">
        <v>17</v>
      </c>
      <c r="L120" t="inlineStr">
        <is>
          <t>Meets expectations</t>
        </is>
      </c>
      <c r="M120" s="2" t="n">
        <v>45992</v>
      </c>
      <c r="N120" s="3">
        <f>IFERROR(J120/I120,0)</f>
        <v/>
      </c>
      <c r="O120" s="3">
        <f>IFERROR(H120/G120,0)</f>
        <v/>
      </c>
      <c r="P120">
        <f>IF(K120&lt;10,"Low",IF(K120&lt;=20,"Medium","High"))</f>
        <v/>
      </c>
      <c r="Q120">
        <f>IF(AND(F120&gt;=4,N120&gt;=80%),"Star Performer",IF(F120&gt;=3,"Meets Expectations","Needs Improvement"))</f>
        <v/>
      </c>
      <c r="R120">
        <f>IF(O120&gt;=90%,"High Productivity",IF(O120&gt;=60%,"Medium Productivity","Low Productivity"))</f>
        <v/>
      </c>
      <c r="S120">
        <f>ROUND((F120/5)*50+N120*25+O120*25,1)</f>
        <v/>
      </c>
    </row>
    <row r="121">
      <c r="A121" t="inlineStr">
        <is>
          <t>EMP1120</t>
        </is>
      </c>
      <c r="B121" t="inlineStr">
        <is>
          <t>Employee 120</t>
        </is>
      </c>
      <c r="C121" t="inlineStr">
        <is>
          <t>Finance</t>
        </is>
      </c>
      <c r="D121" t="inlineStr">
        <is>
          <t>Financial Analyst</t>
        </is>
      </c>
      <c r="E121" t="inlineStr">
        <is>
          <t>Meena Joseph</t>
        </is>
      </c>
      <c r="F121" t="n">
        <v>3</v>
      </c>
      <c r="G121" t="n">
        <v>42</v>
      </c>
      <c r="H121" t="n">
        <v>41</v>
      </c>
      <c r="I121" t="n">
        <v>222</v>
      </c>
      <c r="J121" t="n">
        <v>152</v>
      </c>
      <c r="K121" t="n">
        <v>7</v>
      </c>
      <c r="L121" t="inlineStr">
        <is>
          <t>Meets expectations</t>
        </is>
      </c>
      <c r="M121" s="2" t="n">
        <v>45839</v>
      </c>
      <c r="N121" s="3">
        <f>IFERROR(J121/I121,0)</f>
        <v/>
      </c>
      <c r="O121" s="3">
        <f>IFERROR(H121/G121,0)</f>
        <v/>
      </c>
      <c r="P121">
        <f>IF(K121&lt;10,"Low",IF(K121&lt;=20,"Medium","High"))</f>
        <v/>
      </c>
      <c r="Q121">
        <f>IF(AND(F121&gt;=4,N121&gt;=80%),"Star Performer",IF(F121&gt;=3,"Meets Expectations","Needs Improvement"))</f>
        <v/>
      </c>
      <c r="R121">
        <f>IF(O121&gt;=90%,"High Productivity",IF(O121&gt;=60%,"Medium Productivity","Low Productivity"))</f>
        <v/>
      </c>
      <c r="S121">
        <f>ROUND((F121/5)*50+N121*25+O121*25,1)</f>
        <v/>
      </c>
    </row>
    <row r="122">
      <c r="A122" t="inlineStr">
        <is>
          <t>EMP1121</t>
        </is>
      </c>
      <c r="B122" t="inlineStr">
        <is>
          <t>Employee 121</t>
        </is>
      </c>
      <c r="C122" t="inlineStr">
        <is>
          <t>Customer Support</t>
        </is>
      </c>
      <c r="D122" t="inlineStr">
        <is>
          <t>Support Analyst</t>
        </is>
      </c>
      <c r="E122" t="inlineStr">
        <is>
          <t>Priya Sharma</t>
        </is>
      </c>
      <c r="F122" t="n">
        <v>4</v>
      </c>
      <c r="G122" t="n">
        <v>104</v>
      </c>
      <c r="H122" t="n">
        <v>123</v>
      </c>
      <c r="I122" t="n">
        <v>212</v>
      </c>
      <c r="J122" t="n">
        <v>164</v>
      </c>
      <c r="K122" t="n">
        <v>7</v>
      </c>
      <c r="L122" t="inlineStr">
        <is>
          <t>Strong contributor</t>
        </is>
      </c>
      <c r="M122" s="2" t="n">
        <v>45870</v>
      </c>
      <c r="N122" s="3">
        <f>IFERROR(J122/I122,0)</f>
        <v/>
      </c>
      <c r="O122" s="3">
        <f>IFERROR(H122/G122,0)</f>
        <v/>
      </c>
      <c r="P122">
        <f>IF(K122&lt;10,"Low",IF(K122&lt;=20,"Medium","High"))</f>
        <v/>
      </c>
      <c r="Q122">
        <f>IF(AND(F122&gt;=4,N122&gt;=80%),"Star Performer",IF(F122&gt;=3,"Meets Expectations","Needs Improvement"))</f>
        <v/>
      </c>
      <c r="R122">
        <f>IF(O122&gt;=90%,"High Productivity",IF(O122&gt;=60%,"Medium Productivity","Low Productivity"))</f>
        <v/>
      </c>
      <c r="S122">
        <f>ROUND((F122/5)*50+N122*25+O122*25,1)</f>
        <v/>
      </c>
    </row>
    <row r="123">
      <c r="A123" t="inlineStr">
        <is>
          <t>EMP1122</t>
        </is>
      </c>
      <c r="B123" t="inlineStr">
        <is>
          <t>Employee 122</t>
        </is>
      </c>
      <c r="C123" t="inlineStr">
        <is>
          <t>Sales</t>
        </is>
      </c>
      <c r="D123" t="inlineStr">
        <is>
          <t>Business Development Executive</t>
        </is>
      </c>
      <c r="E123" t="inlineStr">
        <is>
          <t>Priya Sharma</t>
        </is>
      </c>
      <c r="F123" t="n">
        <v>1</v>
      </c>
      <c r="G123" t="n">
        <v>47</v>
      </c>
      <c r="H123" t="n">
        <v>23</v>
      </c>
      <c r="I123" t="n">
        <v>183</v>
      </c>
      <c r="J123" t="n">
        <v>134</v>
      </c>
      <c r="K123" t="n">
        <v>9</v>
      </c>
      <c r="L123" t="inlineStr">
        <is>
          <t>Needs close supervision</t>
        </is>
      </c>
      <c r="M123" s="2" t="n">
        <v>45748</v>
      </c>
      <c r="N123" s="3">
        <f>IFERROR(J123/I123,0)</f>
        <v/>
      </c>
      <c r="O123" s="3">
        <f>IFERROR(H123/G123,0)</f>
        <v/>
      </c>
      <c r="P123">
        <f>IF(K123&lt;10,"Low",IF(K123&lt;=20,"Medium","High"))</f>
        <v/>
      </c>
      <c r="Q123">
        <f>IF(AND(F123&gt;=4,N123&gt;=80%),"Star Performer",IF(F123&gt;=3,"Meets Expectations","Needs Improvement"))</f>
        <v/>
      </c>
      <c r="R123">
        <f>IF(O123&gt;=90%,"High Productivity",IF(O123&gt;=60%,"Medium Productivity","Low Productivity"))</f>
        <v/>
      </c>
      <c r="S123">
        <f>ROUND((F123/5)*50+N123*25+O123*25,1)</f>
        <v/>
      </c>
    </row>
    <row r="124">
      <c r="A124" t="inlineStr">
        <is>
          <t>EMP1123</t>
        </is>
      </c>
      <c r="B124" t="inlineStr">
        <is>
          <t>Employee 123</t>
        </is>
      </c>
      <c r="C124" t="inlineStr">
        <is>
          <t>Marketing</t>
        </is>
      </c>
      <c r="D124" t="inlineStr">
        <is>
          <t>Digital Marketing Analyst</t>
        </is>
      </c>
      <c r="E124" t="inlineStr">
        <is>
          <t>Arun Kumar</t>
        </is>
      </c>
      <c r="F124" t="n">
        <v>4</v>
      </c>
      <c r="G124" t="n">
        <v>42</v>
      </c>
      <c r="H124" t="n">
        <v>30</v>
      </c>
      <c r="I124" t="n">
        <v>223</v>
      </c>
      <c r="J124" t="n">
        <v>144</v>
      </c>
      <c r="K124" t="n">
        <v>24</v>
      </c>
      <c r="L124" t="inlineStr">
        <is>
          <t>Strong contributor</t>
        </is>
      </c>
      <c r="M124" s="2" t="n">
        <v>45717</v>
      </c>
      <c r="N124" s="3">
        <f>IFERROR(J124/I124,0)</f>
        <v/>
      </c>
      <c r="O124" s="3">
        <f>IFERROR(H124/G124,0)</f>
        <v/>
      </c>
      <c r="P124">
        <f>IF(K124&lt;10,"Low",IF(K124&lt;=20,"Medium","High"))</f>
        <v/>
      </c>
      <c r="Q124">
        <f>IF(AND(F124&gt;=4,N124&gt;=80%),"Star Performer",IF(F124&gt;=3,"Meets Expectations","Needs Improvement"))</f>
        <v/>
      </c>
      <c r="R124">
        <f>IF(O124&gt;=90%,"High Productivity",IF(O124&gt;=60%,"Medium Productivity","Low Productivity"))</f>
        <v/>
      </c>
      <c r="S124">
        <f>ROUND((F124/5)*50+N124*25+O124*25,1)</f>
        <v/>
      </c>
    </row>
    <row r="125">
      <c r="A125" t="inlineStr">
        <is>
          <t>EMP1124</t>
        </is>
      </c>
      <c r="B125" t="inlineStr">
        <is>
          <t>Employee 124</t>
        </is>
      </c>
      <c r="C125" t="inlineStr">
        <is>
          <t>Customer Support</t>
        </is>
      </c>
      <c r="D125" t="inlineStr">
        <is>
          <t>Support Executive</t>
        </is>
      </c>
      <c r="E125" t="inlineStr">
        <is>
          <t>Karthik Rao</t>
        </is>
      </c>
      <c r="F125" t="n">
        <v>2</v>
      </c>
      <c r="G125" t="n">
        <v>78</v>
      </c>
      <c r="H125" t="n">
        <v>59</v>
      </c>
      <c r="I125" t="n">
        <v>180</v>
      </c>
      <c r="J125" t="n">
        <v>115</v>
      </c>
      <c r="K125" t="n">
        <v>6</v>
      </c>
      <c r="L125" t="inlineStr">
        <is>
          <t>Needs additional guidance</t>
        </is>
      </c>
      <c r="M125" s="2" t="n">
        <v>45870</v>
      </c>
      <c r="N125" s="3">
        <f>IFERROR(J125/I125,0)</f>
        <v/>
      </c>
      <c r="O125" s="3">
        <f>IFERROR(H125/G125,0)</f>
        <v/>
      </c>
      <c r="P125">
        <f>IF(K125&lt;10,"Low",IF(K125&lt;=20,"Medium","High"))</f>
        <v/>
      </c>
      <c r="Q125">
        <f>IF(AND(F125&gt;=4,N125&gt;=80%),"Star Performer",IF(F125&gt;=3,"Meets Expectations","Needs Improvement"))</f>
        <v/>
      </c>
      <c r="R125">
        <f>IF(O125&gt;=90%,"High Productivity",IF(O125&gt;=60%,"Medium Productivity","Low Productivity"))</f>
        <v/>
      </c>
      <c r="S125">
        <f>ROUND((F125/5)*50+N125*25+O125*25,1)</f>
        <v/>
      </c>
    </row>
    <row r="126">
      <c r="A126" t="inlineStr">
        <is>
          <t>EMP1125</t>
        </is>
      </c>
      <c r="B126" t="inlineStr">
        <is>
          <t>Employee 125</t>
        </is>
      </c>
      <c r="C126" t="inlineStr">
        <is>
          <t>Sales</t>
        </is>
      </c>
      <c r="D126" t="inlineStr">
        <is>
          <t>Business Development Executive</t>
        </is>
      </c>
      <c r="E126" t="inlineStr">
        <is>
          <t>Divya Iyer</t>
        </is>
      </c>
      <c r="F126" t="n">
        <v>3</v>
      </c>
      <c r="G126" t="n">
        <v>55</v>
      </c>
      <c r="H126" t="n">
        <v>56</v>
      </c>
      <c r="I126" t="n">
        <v>209</v>
      </c>
      <c r="J126" t="n">
        <v>163</v>
      </c>
      <c r="K126" t="n">
        <v>13</v>
      </c>
      <c r="L126" t="inlineStr">
        <is>
          <t>Meets expectations</t>
        </is>
      </c>
      <c r="M126" s="2" t="n">
        <v>45992</v>
      </c>
      <c r="N126" s="3">
        <f>IFERROR(J126/I126,0)</f>
        <v/>
      </c>
      <c r="O126" s="3">
        <f>IFERROR(H126/G126,0)</f>
        <v/>
      </c>
      <c r="P126">
        <f>IF(K126&lt;10,"Low",IF(K126&lt;=20,"Medium","High"))</f>
        <v/>
      </c>
      <c r="Q126">
        <f>IF(AND(F126&gt;=4,N126&gt;=80%),"Star Performer",IF(F126&gt;=3,"Meets Expectations","Needs Improvement"))</f>
        <v/>
      </c>
      <c r="R126">
        <f>IF(O126&gt;=90%,"High Productivity",IF(O126&gt;=60%,"Medium Productivity","Low Productivity"))</f>
        <v/>
      </c>
      <c r="S126">
        <f>ROUND((F126/5)*50+N126*25+O126*25,1)</f>
        <v/>
      </c>
    </row>
    <row r="127">
      <c r="A127" t="inlineStr">
        <is>
          <t>EMP1126</t>
        </is>
      </c>
      <c r="B127" t="inlineStr">
        <is>
          <t>Employee 126</t>
        </is>
      </c>
      <c r="C127" t="inlineStr">
        <is>
          <t>Sales</t>
        </is>
      </c>
      <c r="D127" t="inlineStr">
        <is>
          <t>Sales Executive</t>
        </is>
      </c>
      <c r="E127" t="inlineStr">
        <is>
          <t>Meena Joseph</t>
        </is>
      </c>
      <c r="F127" t="n">
        <v>4</v>
      </c>
      <c r="G127" t="n">
        <v>57</v>
      </c>
      <c r="H127" t="n">
        <v>56</v>
      </c>
      <c r="I127" t="n">
        <v>207</v>
      </c>
      <c r="J127" t="n">
        <v>144</v>
      </c>
      <c r="K127" t="n">
        <v>19</v>
      </c>
      <c r="L127" t="inlineStr">
        <is>
          <t>Strong contributor</t>
        </is>
      </c>
      <c r="M127" s="2" t="n">
        <v>45962</v>
      </c>
      <c r="N127" s="3">
        <f>IFERROR(J127/I127,0)</f>
        <v/>
      </c>
      <c r="O127" s="3">
        <f>IFERROR(H127/G127,0)</f>
        <v/>
      </c>
      <c r="P127">
        <f>IF(K127&lt;10,"Low",IF(K127&lt;=20,"Medium","High"))</f>
        <v/>
      </c>
      <c r="Q127">
        <f>IF(AND(F127&gt;=4,N127&gt;=80%),"Star Performer",IF(F127&gt;=3,"Meets Expectations","Needs Improvement"))</f>
        <v/>
      </c>
      <c r="R127">
        <f>IF(O127&gt;=90%,"High Productivity",IF(O127&gt;=60%,"Medium Productivity","Low Productivity"))</f>
        <v/>
      </c>
      <c r="S127">
        <f>ROUND((F127/5)*50+N127*25+O127*25,1)</f>
        <v/>
      </c>
    </row>
    <row r="128">
      <c r="A128" t="inlineStr">
        <is>
          <t>EMP1127</t>
        </is>
      </c>
      <c r="B128" t="inlineStr">
        <is>
          <t>Employee 127</t>
        </is>
      </c>
      <c r="C128" t="inlineStr">
        <is>
          <t>Sales</t>
        </is>
      </c>
      <c r="D128" t="inlineStr">
        <is>
          <t>Sales Manager</t>
        </is>
      </c>
      <c r="E128" t="inlineStr">
        <is>
          <t>Meena Joseph</t>
        </is>
      </c>
      <c r="F128" t="n">
        <v>3</v>
      </c>
      <c r="G128" t="n">
        <v>102</v>
      </c>
      <c r="H128" t="n">
        <v>94</v>
      </c>
      <c r="I128" t="n">
        <v>163</v>
      </c>
      <c r="J128" t="n">
        <v>92</v>
      </c>
      <c r="K128" t="n">
        <v>22</v>
      </c>
      <c r="L128" t="inlineStr">
        <is>
          <t>Meets expectations</t>
        </is>
      </c>
      <c r="M128" s="2" t="n">
        <v>45809</v>
      </c>
      <c r="N128" s="3">
        <f>IFERROR(J128/I128,0)</f>
        <v/>
      </c>
      <c r="O128" s="3">
        <f>IFERROR(H128/G128,0)</f>
        <v/>
      </c>
      <c r="P128">
        <f>IF(K128&lt;10,"Low",IF(K128&lt;=20,"Medium","High"))</f>
        <v/>
      </c>
      <c r="Q128">
        <f>IF(AND(F128&gt;=4,N128&gt;=80%),"Star Performer",IF(F128&gt;=3,"Meets Expectations","Needs Improvement"))</f>
        <v/>
      </c>
      <c r="R128">
        <f>IF(O128&gt;=90%,"High Productivity",IF(O128&gt;=60%,"Medium Productivity","Low Productivity"))</f>
        <v/>
      </c>
      <c r="S128">
        <f>ROUND((F128/5)*50+N128*25+O128*25,1)</f>
        <v/>
      </c>
    </row>
    <row r="129">
      <c r="A129" t="inlineStr">
        <is>
          <t>EMP1128</t>
        </is>
      </c>
      <c r="B129" t="inlineStr">
        <is>
          <t>Employee 128</t>
        </is>
      </c>
      <c r="C129" t="inlineStr">
        <is>
          <t>Marketing</t>
        </is>
      </c>
      <c r="D129" t="inlineStr">
        <is>
          <t>Marketing Executive</t>
        </is>
      </c>
      <c r="E129" t="inlineStr">
        <is>
          <t>Arun Kumar</t>
        </is>
      </c>
      <c r="F129" t="n">
        <v>5</v>
      </c>
      <c r="G129" t="n">
        <v>79</v>
      </c>
      <c r="H129" t="n">
        <v>81</v>
      </c>
      <c r="I129" t="n">
        <v>176</v>
      </c>
      <c r="J129" t="n">
        <v>146</v>
      </c>
      <c r="K129" t="n">
        <v>33</v>
      </c>
      <c r="L129" t="inlineStr">
        <is>
          <t>Exceptional performer</t>
        </is>
      </c>
      <c r="M129" s="2" t="n">
        <v>45689</v>
      </c>
      <c r="N129" s="3">
        <f>IFERROR(J129/I129,0)</f>
        <v/>
      </c>
      <c r="O129" s="3">
        <f>IFERROR(H129/G129,0)</f>
        <v/>
      </c>
      <c r="P129">
        <f>IF(K129&lt;10,"Low",IF(K129&lt;=20,"Medium","High"))</f>
        <v/>
      </c>
      <c r="Q129">
        <f>IF(AND(F129&gt;=4,N129&gt;=80%),"Star Performer",IF(F129&gt;=3,"Meets Expectations","Needs Improvement"))</f>
        <v/>
      </c>
      <c r="R129">
        <f>IF(O129&gt;=90%,"High Productivity",IF(O129&gt;=60%,"Medium Productivity","Low Productivity"))</f>
        <v/>
      </c>
      <c r="S129">
        <f>ROUND((F129/5)*50+N129*25+O129*25,1)</f>
        <v/>
      </c>
    </row>
    <row r="130">
      <c r="A130" t="inlineStr">
        <is>
          <t>EMP1129</t>
        </is>
      </c>
      <c r="B130" t="inlineStr">
        <is>
          <t>Employee 129</t>
        </is>
      </c>
      <c r="C130" t="inlineStr">
        <is>
          <t>Sales</t>
        </is>
      </c>
      <c r="D130" t="inlineStr">
        <is>
          <t>Sales Manager</t>
        </is>
      </c>
      <c r="E130" t="inlineStr">
        <is>
          <t>Divya Iyer</t>
        </is>
      </c>
      <c r="F130" t="n">
        <v>3</v>
      </c>
      <c r="G130" t="n">
        <v>38</v>
      </c>
      <c r="H130" t="n">
        <v>34</v>
      </c>
      <c r="I130" t="n">
        <v>164</v>
      </c>
      <c r="J130" t="n">
        <v>122</v>
      </c>
      <c r="K130" t="n">
        <v>0</v>
      </c>
      <c r="L130" t="inlineStr">
        <is>
          <t>Meets expectations</t>
        </is>
      </c>
      <c r="M130" s="2" t="n">
        <v>45962</v>
      </c>
      <c r="N130" s="3">
        <f>IFERROR(J130/I130,0)</f>
        <v/>
      </c>
      <c r="O130" s="3">
        <f>IFERROR(H130/G130,0)</f>
        <v/>
      </c>
      <c r="P130">
        <f>IF(K130&lt;10,"Low",IF(K130&lt;=20,"Medium","High"))</f>
        <v/>
      </c>
      <c r="Q130">
        <f>IF(AND(F130&gt;=4,N130&gt;=80%),"Star Performer",IF(F130&gt;=3,"Meets Expectations","Needs Improvement"))</f>
        <v/>
      </c>
      <c r="R130">
        <f>IF(O130&gt;=90%,"High Productivity",IF(O130&gt;=60%,"Medium Productivity","Low Productivity"))</f>
        <v/>
      </c>
      <c r="S130">
        <f>ROUND((F130/5)*50+N130*25+O130*25,1)</f>
        <v/>
      </c>
    </row>
    <row r="131">
      <c r="A131" t="inlineStr">
        <is>
          <t>EMP1130</t>
        </is>
      </c>
      <c r="B131" t="inlineStr">
        <is>
          <t>Employee 130</t>
        </is>
      </c>
      <c r="C131" t="inlineStr">
        <is>
          <t>Finance</t>
        </is>
      </c>
      <c r="D131" t="inlineStr">
        <is>
          <t>Accountant</t>
        </is>
      </c>
      <c r="E131" t="inlineStr">
        <is>
          <t>Arun Kumar</t>
        </is>
      </c>
      <c r="F131" t="n">
        <v>3</v>
      </c>
      <c r="G131" t="n">
        <v>107</v>
      </c>
      <c r="H131" t="n">
        <v>68</v>
      </c>
      <c r="I131" t="n">
        <v>227</v>
      </c>
      <c r="J131" t="n">
        <v>160</v>
      </c>
      <c r="K131" t="n">
        <v>17</v>
      </c>
      <c r="L131" t="inlineStr">
        <is>
          <t>Meets expectations</t>
        </is>
      </c>
      <c r="M131" s="2" t="n">
        <v>45839</v>
      </c>
      <c r="N131" s="3">
        <f>IFERROR(J131/I131,0)</f>
        <v/>
      </c>
      <c r="O131" s="3">
        <f>IFERROR(H131/G131,0)</f>
        <v/>
      </c>
      <c r="P131">
        <f>IF(K131&lt;10,"Low",IF(K131&lt;=20,"Medium","High"))</f>
        <v/>
      </c>
      <c r="Q131">
        <f>IF(AND(F131&gt;=4,N131&gt;=80%),"Star Performer",IF(F131&gt;=3,"Meets Expectations","Needs Improvement"))</f>
        <v/>
      </c>
      <c r="R131">
        <f>IF(O131&gt;=90%,"High Productivity",IF(O131&gt;=60%,"Medium Productivity","Low Productivity"))</f>
        <v/>
      </c>
      <c r="S131">
        <f>ROUND((F131/5)*50+N131*25+O131*25,1)</f>
        <v/>
      </c>
    </row>
    <row r="132">
      <c r="A132" t="inlineStr">
        <is>
          <t>EMP1131</t>
        </is>
      </c>
      <c r="B132" t="inlineStr">
        <is>
          <t>Employee 131</t>
        </is>
      </c>
      <c r="C132" t="inlineStr">
        <is>
          <t>Sales</t>
        </is>
      </c>
      <c r="D132" t="inlineStr">
        <is>
          <t>Business Development Executive</t>
        </is>
      </c>
      <c r="E132" t="inlineStr">
        <is>
          <t>Meena Joseph</t>
        </is>
      </c>
      <c r="F132" t="n">
        <v>2</v>
      </c>
      <c r="G132" t="n">
        <v>101</v>
      </c>
      <c r="H132" t="n">
        <v>44</v>
      </c>
      <c r="I132" t="n">
        <v>223</v>
      </c>
      <c r="J132" t="n">
        <v>119</v>
      </c>
      <c r="K132" t="n">
        <v>7</v>
      </c>
      <c r="L132" t="inlineStr">
        <is>
          <t>Needs additional guidance</t>
        </is>
      </c>
      <c r="M132" s="2" t="n">
        <v>45748</v>
      </c>
      <c r="N132" s="3">
        <f>IFERROR(J132/I132,0)</f>
        <v/>
      </c>
      <c r="O132" s="3">
        <f>IFERROR(H132/G132,0)</f>
        <v/>
      </c>
      <c r="P132">
        <f>IF(K132&lt;10,"Low",IF(K132&lt;=20,"Medium","High"))</f>
        <v/>
      </c>
      <c r="Q132">
        <f>IF(AND(F132&gt;=4,N132&gt;=80%),"Star Performer",IF(F132&gt;=3,"Meets Expectations","Needs Improvement"))</f>
        <v/>
      </c>
      <c r="R132">
        <f>IF(O132&gt;=90%,"High Productivity",IF(O132&gt;=60%,"Medium Productivity","Low Productivity"))</f>
        <v/>
      </c>
      <c r="S132">
        <f>ROUND((F132/5)*50+N132*25+O132*25,1)</f>
        <v/>
      </c>
    </row>
    <row r="133">
      <c r="A133" t="inlineStr">
        <is>
          <t>EMP1132</t>
        </is>
      </c>
      <c r="B133" t="inlineStr">
        <is>
          <t>Employee 132</t>
        </is>
      </c>
      <c r="C133" t="inlineStr">
        <is>
          <t>Finance</t>
        </is>
      </c>
      <c r="D133" t="inlineStr">
        <is>
          <t>Financial Analyst</t>
        </is>
      </c>
      <c r="E133" t="inlineStr">
        <is>
          <t>Meena Joseph</t>
        </is>
      </c>
      <c r="F133" t="n">
        <v>4</v>
      </c>
      <c r="G133" t="n">
        <v>120</v>
      </c>
      <c r="H133" t="n">
        <v>121</v>
      </c>
      <c r="I133" t="n">
        <v>195</v>
      </c>
      <c r="J133" t="n">
        <v>141</v>
      </c>
      <c r="K133" t="n">
        <v>35</v>
      </c>
      <c r="L133" t="inlineStr">
        <is>
          <t>Strong contributor</t>
        </is>
      </c>
      <c r="M133" s="2" t="n">
        <v>45809</v>
      </c>
      <c r="N133" s="3">
        <f>IFERROR(J133/I133,0)</f>
        <v/>
      </c>
      <c r="O133" s="3">
        <f>IFERROR(H133/G133,0)</f>
        <v/>
      </c>
      <c r="P133">
        <f>IF(K133&lt;10,"Low",IF(K133&lt;=20,"Medium","High"))</f>
        <v/>
      </c>
      <c r="Q133">
        <f>IF(AND(F133&gt;=4,N133&gt;=80%),"Star Performer",IF(F133&gt;=3,"Meets Expectations","Needs Improvement"))</f>
        <v/>
      </c>
      <c r="R133">
        <f>IF(O133&gt;=90%,"High Productivity",IF(O133&gt;=60%,"Medium Productivity","Low Productivity"))</f>
        <v/>
      </c>
      <c r="S133">
        <f>ROUND((F133/5)*50+N133*25+O133*25,1)</f>
        <v/>
      </c>
    </row>
    <row r="134">
      <c r="A134" t="inlineStr">
        <is>
          <t>EMP1133</t>
        </is>
      </c>
      <c r="B134" t="inlineStr">
        <is>
          <t>Employee 133</t>
        </is>
      </c>
      <c r="C134" t="inlineStr">
        <is>
          <t>Customer Support</t>
        </is>
      </c>
      <c r="D134" t="inlineStr">
        <is>
          <t>Support Executive</t>
        </is>
      </c>
      <c r="E134" t="inlineStr">
        <is>
          <t>Divya Iyer</t>
        </is>
      </c>
      <c r="F134" t="n">
        <v>5</v>
      </c>
      <c r="G134" t="n">
        <v>65</v>
      </c>
      <c r="H134" t="n">
        <v>57</v>
      </c>
      <c r="I134" t="n">
        <v>221</v>
      </c>
      <c r="J134" t="n">
        <v>170</v>
      </c>
      <c r="K134" t="n">
        <v>30</v>
      </c>
      <c r="L134" t="inlineStr">
        <is>
          <t>Exceptional performer</t>
        </is>
      </c>
      <c r="M134" s="2" t="n">
        <v>45839</v>
      </c>
      <c r="N134" s="3">
        <f>IFERROR(J134/I134,0)</f>
        <v/>
      </c>
      <c r="O134" s="3">
        <f>IFERROR(H134/G134,0)</f>
        <v/>
      </c>
      <c r="P134">
        <f>IF(K134&lt;10,"Low",IF(K134&lt;=20,"Medium","High"))</f>
        <v/>
      </c>
      <c r="Q134">
        <f>IF(AND(F134&gt;=4,N134&gt;=80%),"Star Performer",IF(F134&gt;=3,"Meets Expectations","Needs Improvement"))</f>
        <v/>
      </c>
      <c r="R134">
        <f>IF(O134&gt;=90%,"High Productivity",IF(O134&gt;=60%,"Medium Productivity","Low Productivity"))</f>
        <v/>
      </c>
      <c r="S134">
        <f>ROUND((F134/5)*50+N134*25+O134*25,1)</f>
        <v/>
      </c>
    </row>
    <row r="135">
      <c r="A135" t="inlineStr">
        <is>
          <t>EMP1134</t>
        </is>
      </c>
      <c r="B135" t="inlineStr">
        <is>
          <t>Employee 134</t>
        </is>
      </c>
      <c r="C135" t="inlineStr">
        <is>
          <t>HR</t>
        </is>
      </c>
      <c r="D135" t="inlineStr">
        <is>
          <t>HR Executive</t>
        </is>
      </c>
      <c r="E135" t="inlineStr">
        <is>
          <t>Divya Iyer</t>
        </is>
      </c>
      <c r="F135" t="n">
        <v>3</v>
      </c>
      <c r="G135" t="n">
        <v>58</v>
      </c>
      <c r="H135" t="n">
        <v>57</v>
      </c>
      <c r="I135" t="n">
        <v>191</v>
      </c>
      <c r="J135" t="n">
        <v>114</v>
      </c>
      <c r="K135" t="n">
        <v>4</v>
      </c>
      <c r="L135" t="inlineStr">
        <is>
          <t>Meets expectations</t>
        </is>
      </c>
      <c r="M135" s="2" t="n">
        <v>45658</v>
      </c>
      <c r="N135" s="3">
        <f>IFERROR(J135/I135,0)</f>
        <v/>
      </c>
      <c r="O135" s="3">
        <f>IFERROR(H135/G135,0)</f>
        <v/>
      </c>
      <c r="P135">
        <f>IF(K135&lt;10,"Low",IF(K135&lt;=20,"Medium","High"))</f>
        <v/>
      </c>
      <c r="Q135">
        <f>IF(AND(F135&gt;=4,N135&gt;=80%),"Star Performer",IF(F135&gt;=3,"Meets Expectations","Needs Improvement"))</f>
        <v/>
      </c>
      <c r="R135">
        <f>IF(O135&gt;=90%,"High Productivity",IF(O135&gt;=60%,"Medium Productivity","Low Productivity"))</f>
        <v/>
      </c>
      <c r="S135">
        <f>ROUND((F135/5)*50+N135*25+O135*25,1)</f>
        <v/>
      </c>
    </row>
    <row r="136">
      <c r="A136" t="inlineStr">
        <is>
          <t>EMP1135</t>
        </is>
      </c>
      <c r="B136" t="inlineStr">
        <is>
          <t>Employee 135</t>
        </is>
      </c>
      <c r="C136" t="inlineStr">
        <is>
          <t>HR</t>
        </is>
      </c>
      <c r="D136" t="inlineStr">
        <is>
          <t>Recruiter</t>
        </is>
      </c>
      <c r="E136" t="inlineStr">
        <is>
          <t>Meena Joseph</t>
        </is>
      </c>
      <c r="F136" t="n">
        <v>3</v>
      </c>
      <c r="G136" t="n">
        <v>48</v>
      </c>
      <c r="H136" t="n">
        <v>37</v>
      </c>
      <c r="I136" t="n">
        <v>185</v>
      </c>
      <c r="J136" t="n">
        <v>148</v>
      </c>
      <c r="K136" t="n">
        <v>18</v>
      </c>
      <c r="L136" t="inlineStr">
        <is>
          <t>Meets expectations</t>
        </is>
      </c>
      <c r="M136" s="2" t="n">
        <v>45839</v>
      </c>
      <c r="N136" s="3">
        <f>IFERROR(J136/I136,0)</f>
        <v/>
      </c>
      <c r="O136" s="3">
        <f>IFERROR(H136/G136,0)</f>
        <v/>
      </c>
      <c r="P136">
        <f>IF(K136&lt;10,"Low",IF(K136&lt;=20,"Medium","High"))</f>
        <v/>
      </c>
      <c r="Q136">
        <f>IF(AND(F136&gt;=4,N136&gt;=80%),"Star Performer",IF(F136&gt;=3,"Meets Expectations","Needs Improvement"))</f>
        <v/>
      </c>
      <c r="R136">
        <f>IF(O136&gt;=90%,"High Productivity",IF(O136&gt;=60%,"Medium Productivity","Low Productivity"))</f>
        <v/>
      </c>
      <c r="S136">
        <f>ROUND((F136/5)*50+N136*25+O136*25,1)</f>
        <v/>
      </c>
    </row>
    <row r="137">
      <c r="A137" t="inlineStr">
        <is>
          <t>EMP1136</t>
        </is>
      </c>
      <c r="B137" t="inlineStr">
        <is>
          <t>Employee 136</t>
        </is>
      </c>
      <c r="C137" t="inlineStr">
        <is>
          <t>Sales</t>
        </is>
      </c>
      <c r="D137" t="inlineStr">
        <is>
          <t>Sales Executive</t>
        </is>
      </c>
      <c r="E137" t="inlineStr">
        <is>
          <t>Arun Kumar</t>
        </is>
      </c>
      <c r="F137" t="n">
        <v>3</v>
      </c>
      <c r="G137" t="n">
        <v>69</v>
      </c>
      <c r="H137" t="n">
        <v>60</v>
      </c>
      <c r="I137" t="n">
        <v>146</v>
      </c>
      <c r="J137" t="n">
        <v>72</v>
      </c>
      <c r="K137" t="n">
        <v>15</v>
      </c>
      <c r="L137" t="inlineStr">
        <is>
          <t>Meets expectations</t>
        </is>
      </c>
      <c r="M137" s="2" t="n">
        <v>45748</v>
      </c>
      <c r="N137" s="3">
        <f>IFERROR(J137/I137,0)</f>
        <v/>
      </c>
      <c r="O137" s="3">
        <f>IFERROR(H137/G137,0)</f>
        <v/>
      </c>
      <c r="P137">
        <f>IF(K137&lt;10,"Low",IF(K137&lt;=20,"Medium","High"))</f>
        <v/>
      </c>
      <c r="Q137">
        <f>IF(AND(F137&gt;=4,N137&gt;=80%),"Star Performer",IF(F137&gt;=3,"Meets Expectations","Needs Improvement"))</f>
        <v/>
      </c>
      <c r="R137">
        <f>IF(O137&gt;=90%,"High Productivity",IF(O137&gt;=60%,"Medium Productivity","Low Productivity"))</f>
        <v/>
      </c>
      <c r="S137">
        <f>ROUND((F137/5)*50+N137*25+O137*25,1)</f>
        <v/>
      </c>
    </row>
    <row r="138">
      <c r="A138" t="inlineStr">
        <is>
          <t>EMP1137</t>
        </is>
      </c>
      <c r="B138" t="inlineStr">
        <is>
          <t>Employee 137</t>
        </is>
      </c>
      <c r="C138" t="inlineStr">
        <is>
          <t>Marketing</t>
        </is>
      </c>
      <c r="D138" t="inlineStr">
        <is>
          <t>Digital Marketing Analyst</t>
        </is>
      </c>
      <c r="E138" t="inlineStr">
        <is>
          <t>Rahul Menon</t>
        </is>
      </c>
      <c r="F138" t="n">
        <v>3</v>
      </c>
      <c r="G138" t="n">
        <v>55</v>
      </c>
      <c r="H138" t="n">
        <v>48</v>
      </c>
      <c r="I138" t="n">
        <v>173</v>
      </c>
      <c r="J138" t="n">
        <v>89</v>
      </c>
      <c r="K138" t="n">
        <v>9</v>
      </c>
      <c r="L138" t="inlineStr">
        <is>
          <t>Meets expectations</t>
        </is>
      </c>
      <c r="M138" s="2" t="n">
        <v>45931</v>
      </c>
      <c r="N138" s="3">
        <f>IFERROR(J138/I138,0)</f>
        <v/>
      </c>
      <c r="O138" s="3">
        <f>IFERROR(H138/G138,0)</f>
        <v/>
      </c>
      <c r="P138">
        <f>IF(K138&lt;10,"Low",IF(K138&lt;=20,"Medium","High"))</f>
        <v/>
      </c>
      <c r="Q138">
        <f>IF(AND(F138&gt;=4,N138&gt;=80%),"Star Performer",IF(F138&gt;=3,"Meets Expectations","Needs Improvement"))</f>
        <v/>
      </c>
      <c r="R138">
        <f>IF(O138&gt;=90%,"High Productivity",IF(O138&gt;=60%,"Medium Productivity","Low Productivity"))</f>
        <v/>
      </c>
      <c r="S138">
        <f>ROUND((F138/5)*50+N138*25+O138*25,1)</f>
        <v/>
      </c>
    </row>
    <row r="139">
      <c r="A139" t="inlineStr">
        <is>
          <t>EMP1138</t>
        </is>
      </c>
      <c r="B139" t="inlineStr">
        <is>
          <t>Employee 138</t>
        </is>
      </c>
      <c r="C139" t="inlineStr">
        <is>
          <t>IT</t>
        </is>
      </c>
      <c r="D139" t="inlineStr">
        <is>
          <t>QA Analyst</t>
        </is>
      </c>
      <c r="E139" t="inlineStr">
        <is>
          <t>Divya Iyer</t>
        </is>
      </c>
      <c r="F139" t="n">
        <v>5</v>
      </c>
      <c r="G139" t="n">
        <v>81</v>
      </c>
      <c r="H139" t="n">
        <v>62</v>
      </c>
      <c r="I139" t="n">
        <v>211</v>
      </c>
      <c r="J139" t="n">
        <v>161</v>
      </c>
      <c r="K139" t="n">
        <v>26</v>
      </c>
      <c r="L139" t="inlineStr">
        <is>
          <t>Exceptional performer</t>
        </is>
      </c>
      <c r="M139" s="2" t="n">
        <v>45931</v>
      </c>
      <c r="N139" s="3">
        <f>IFERROR(J139/I139,0)</f>
        <v/>
      </c>
      <c r="O139" s="3">
        <f>IFERROR(H139/G139,0)</f>
        <v/>
      </c>
      <c r="P139">
        <f>IF(K139&lt;10,"Low",IF(K139&lt;=20,"Medium","High"))</f>
        <v/>
      </c>
      <c r="Q139">
        <f>IF(AND(F139&gt;=4,N139&gt;=80%),"Star Performer",IF(F139&gt;=3,"Meets Expectations","Needs Improvement"))</f>
        <v/>
      </c>
      <c r="R139">
        <f>IF(O139&gt;=90%,"High Productivity",IF(O139&gt;=60%,"Medium Productivity","Low Productivity"))</f>
        <v/>
      </c>
      <c r="S139">
        <f>ROUND((F139/5)*50+N139*25+O139*25,1)</f>
        <v/>
      </c>
    </row>
    <row r="140">
      <c r="A140" t="inlineStr">
        <is>
          <t>EMP1139</t>
        </is>
      </c>
      <c r="B140" t="inlineStr">
        <is>
          <t>Employee 139</t>
        </is>
      </c>
      <c r="C140" t="inlineStr">
        <is>
          <t>Operations</t>
        </is>
      </c>
      <c r="D140" t="inlineStr">
        <is>
          <t>Operations Manager</t>
        </is>
      </c>
      <c r="E140" t="inlineStr">
        <is>
          <t>Arun Kumar</t>
        </is>
      </c>
      <c r="F140" t="n">
        <v>4</v>
      </c>
      <c r="G140" t="n">
        <v>75</v>
      </c>
      <c r="H140" t="n">
        <v>69</v>
      </c>
      <c r="I140" t="n">
        <v>215</v>
      </c>
      <c r="J140" t="n">
        <v>116</v>
      </c>
      <c r="K140" t="n">
        <v>15</v>
      </c>
      <c r="L140" t="inlineStr">
        <is>
          <t>Strong contributor</t>
        </is>
      </c>
      <c r="M140" s="2" t="n">
        <v>45931</v>
      </c>
      <c r="N140" s="3">
        <f>IFERROR(J140/I140,0)</f>
        <v/>
      </c>
      <c r="O140" s="3">
        <f>IFERROR(H140/G140,0)</f>
        <v/>
      </c>
      <c r="P140">
        <f>IF(K140&lt;10,"Low",IF(K140&lt;=20,"Medium","High"))</f>
        <v/>
      </c>
      <c r="Q140">
        <f>IF(AND(F140&gt;=4,N140&gt;=80%),"Star Performer",IF(F140&gt;=3,"Meets Expectations","Needs Improvement"))</f>
        <v/>
      </c>
      <c r="R140">
        <f>IF(O140&gt;=90%,"High Productivity",IF(O140&gt;=60%,"Medium Productivity","Low Productivity"))</f>
        <v/>
      </c>
      <c r="S140">
        <f>ROUND((F140/5)*50+N140*25+O140*25,1)</f>
        <v/>
      </c>
    </row>
    <row r="141">
      <c r="A141" t="inlineStr">
        <is>
          <t>EMP1140</t>
        </is>
      </c>
      <c r="B141" t="inlineStr">
        <is>
          <t>Employee 140</t>
        </is>
      </c>
      <c r="C141" t="inlineStr">
        <is>
          <t>IT</t>
        </is>
      </c>
      <c r="D141" t="inlineStr">
        <is>
          <t>Data Analyst</t>
        </is>
      </c>
      <c r="E141" t="inlineStr">
        <is>
          <t>Divya Iyer</t>
        </is>
      </c>
      <c r="F141" t="n">
        <v>4</v>
      </c>
      <c r="G141" t="n">
        <v>53</v>
      </c>
      <c r="H141" t="n">
        <v>36</v>
      </c>
      <c r="I141" t="n">
        <v>202</v>
      </c>
      <c r="J141" t="n">
        <v>127</v>
      </c>
      <c r="K141" t="n">
        <v>0</v>
      </c>
      <c r="L141" t="inlineStr">
        <is>
          <t>Strong contributor</t>
        </is>
      </c>
      <c r="M141" s="2" t="n">
        <v>45931</v>
      </c>
      <c r="N141" s="3">
        <f>IFERROR(J141/I141,0)</f>
        <v/>
      </c>
      <c r="O141" s="3">
        <f>IFERROR(H141/G141,0)</f>
        <v/>
      </c>
      <c r="P141">
        <f>IF(K141&lt;10,"Low",IF(K141&lt;=20,"Medium","High"))</f>
        <v/>
      </c>
      <c r="Q141">
        <f>IF(AND(F141&gt;=4,N141&gt;=80%),"Star Performer",IF(F141&gt;=3,"Meets Expectations","Needs Improvement"))</f>
        <v/>
      </c>
      <c r="R141">
        <f>IF(O141&gt;=90%,"High Productivity",IF(O141&gt;=60%,"Medium Productivity","Low Productivity"))</f>
        <v/>
      </c>
      <c r="S141">
        <f>ROUND((F141/5)*50+N141*25+O141*25,1)</f>
        <v/>
      </c>
    </row>
    <row r="142">
      <c r="A142" t="inlineStr">
        <is>
          <t>EMP1141</t>
        </is>
      </c>
      <c r="B142" t="inlineStr">
        <is>
          <t>Employee 141</t>
        </is>
      </c>
      <c r="C142" t="inlineStr">
        <is>
          <t>Marketing</t>
        </is>
      </c>
      <c r="D142" t="inlineStr">
        <is>
          <t>Brand Executive</t>
        </is>
      </c>
      <c r="E142" t="inlineStr">
        <is>
          <t>Rahul Menon</t>
        </is>
      </c>
      <c r="F142" t="n">
        <v>2</v>
      </c>
      <c r="G142" t="n">
        <v>47</v>
      </c>
      <c r="H142" t="n">
        <v>30</v>
      </c>
      <c r="I142" t="n">
        <v>208</v>
      </c>
      <c r="J142" t="n">
        <v>131</v>
      </c>
      <c r="K142" t="n">
        <v>17</v>
      </c>
      <c r="L142" t="inlineStr">
        <is>
          <t>Needs additional guidance</t>
        </is>
      </c>
      <c r="M142" s="2" t="n">
        <v>45809</v>
      </c>
      <c r="N142" s="3">
        <f>IFERROR(J142/I142,0)</f>
        <v/>
      </c>
      <c r="O142" s="3">
        <f>IFERROR(H142/G142,0)</f>
        <v/>
      </c>
      <c r="P142">
        <f>IF(K142&lt;10,"Low",IF(K142&lt;=20,"Medium","High"))</f>
        <v/>
      </c>
      <c r="Q142">
        <f>IF(AND(F142&gt;=4,N142&gt;=80%),"Star Performer",IF(F142&gt;=3,"Meets Expectations","Needs Improvement"))</f>
        <v/>
      </c>
      <c r="R142">
        <f>IF(O142&gt;=90%,"High Productivity",IF(O142&gt;=60%,"Medium Productivity","Low Productivity"))</f>
        <v/>
      </c>
      <c r="S142">
        <f>ROUND((F142/5)*50+N142*25+O142*25,1)</f>
        <v/>
      </c>
    </row>
    <row r="143">
      <c r="A143" t="inlineStr">
        <is>
          <t>EMP1142</t>
        </is>
      </c>
      <c r="B143" t="inlineStr">
        <is>
          <t>Employee 142</t>
        </is>
      </c>
      <c r="C143" t="inlineStr">
        <is>
          <t>Marketing</t>
        </is>
      </c>
      <c r="D143" t="inlineStr">
        <is>
          <t>Brand Executive</t>
        </is>
      </c>
      <c r="E143" t="inlineStr">
        <is>
          <t>Karthik Rao</t>
        </is>
      </c>
      <c r="F143" t="n">
        <v>5</v>
      </c>
      <c r="G143" t="n">
        <v>65</v>
      </c>
      <c r="H143" t="n">
        <v>40</v>
      </c>
      <c r="I143" t="n">
        <v>182</v>
      </c>
      <c r="J143" t="n">
        <v>133</v>
      </c>
      <c r="K143" t="n">
        <v>19</v>
      </c>
      <c r="L143" t="inlineStr">
        <is>
          <t>Exceptional performer</t>
        </is>
      </c>
      <c r="M143" s="2" t="n">
        <v>45658</v>
      </c>
      <c r="N143" s="3">
        <f>IFERROR(J143/I143,0)</f>
        <v/>
      </c>
      <c r="O143" s="3">
        <f>IFERROR(H143/G143,0)</f>
        <v/>
      </c>
      <c r="P143">
        <f>IF(K143&lt;10,"Low",IF(K143&lt;=20,"Medium","High"))</f>
        <v/>
      </c>
      <c r="Q143">
        <f>IF(AND(F143&gt;=4,N143&gt;=80%),"Star Performer",IF(F143&gt;=3,"Meets Expectations","Needs Improvement"))</f>
        <v/>
      </c>
      <c r="R143">
        <f>IF(O143&gt;=90%,"High Productivity",IF(O143&gt;=60%,"Medium Productivity","Low Productivity"))</f>
        <v/>
      </c>
      <c r="S143">
        <f>ROUND((F143/5)*50+N143*25+O143*25,1)</f>
        <v/>
      </c>
    </row>
    <row r="144">
      <c r="A144" t="inlineStr">
        <is>
          <t>EMP1143</t>
        </is>
      </c>
      <c r="B144" t="inlineStr">
        <is>
          <t>Employee 143</t>
        </is>
      </c>
      <c r="C144" t="inlineStr">
        <is>
          <t>Sales</t>
        </is>
      </c>
      <c r="D144" t="inlineStr">
        <is>
          <t>Sales Executive</t>
        </is>
      </c>
      <c r="E144" t="inlineStr">
        <is>
          <t>Rahul Menon</t>
        </is>
      </c>
      <c r="F144" t="n">
        <v>3</v>
      </c>
      <c r="G144" t="n">
        <v>56</v>
      </c>
      <c r="H144" t="n">
        <v>36</v>
      </c>
      <c r="I144" t="n">
        <v>188</v>
      </c>
      <c r="J144" t="n">
        <v>139</v>
      </c>
      <c r="K144" t="n">
        <v>24</v>
      </c>
      <c r="L144" t="inlineStr">
        <is>
          <t>Meets expectations</t>
        </is>
      </c>
      <c r="M144" s="2" t="n">
        <v>45748</v>
      </c>
      <c r="N144" s="3">
        <f>IFERROR(J144/I144,0)</f>
        <v/>
      </c>
      <c r="O144" s="3">
        <f>IFERROR(H144/G144,0)</f>
        <v/>
      </c>
      <c r="P144">
        <f>IF(K144&lt;10,"Low",IF(K144&lt;=20,"Medium","High"))</f>
        <v/>
      </c>
      <c r="Q144">
        <f>IF(AND(F144&gt;=4,N144&gt;=80%),"Star Performer",IF(F144&gt;=3,"Meets Expectations","Needs Improvement"))</f>
        <v/>
      </c>
      <c r="R144">
        <f>IF(O144&gt;=90%,"High Productivity",IF(O144&gt;=60%,"Medium Productivity","Low Productivity"))</f>
        <v/>
      </c>
      <c r="S144">
        <f>ROUND((F144/5)*50+N144*25+O144*25,1)</f>
        <v/>
      </c>
    </row>
    <row r="145">
      <c r="A145" t="inlineStr">
        <is>
          <t>EMP1144</t>
        </is>
      </c>
      <c r="B145" t="inlineStr">
        <is>
          <t>Employee 144</t>
        </is>
      </c>
      <c r="C145" t="inlineStr">
        <is>
          <t>Finance</t>
        </is>
      </c>
      <c r="D145" t="inlineStr">
        <is>
          <t>Accountant</t>
        </is>
      </c>
      <c r="E145" t="inlineStr">
        <is>
          <t>Karthik Rao</t>
        </is>
      </c>
      <c r="F145" t="n">
        <v>4</v>
      </c>
      <c r="G145" t="n">
        <v>38</v>
      </c>
      <c r="H145" t="n">
        <v>27</v>
      </c>
      <c r="I145" t="n">
        <v>150</v>
      </c>
      <c r="J145" t="n">
        <v>77</v>
      </c>
      <c r="K145" t="n">
        <v>13</v>
      </c>
      <c r="L145" t="inlineStr">
        <is>
          <t>Strong contributor</t>
        </is>
      </c>
      <c r="M145" s="2" t="n">
        <v>45658</v>
      </c>
      <c r="N145" s="3">
        <f>IFERROR(J145/I145,0)</f>
        <v/>
      </c>
      <c r="O145" s="3">
        <f>IFERROR(H145/G145,0)</f>
        <v/>
      </c>
      <c r="P145">
        <f>IF(K145&lt;10,"Low",IF(K145&lt;=20,"Medium","High"))</f>
        <v/>
      </c>
      <c r="Q145">
        <f>IF(AND(F145&gt;=4,N145&gt;=80%),"Star Performer",IF(F145&gt;=3,"Meets Expectations","Needs Improvement"))</f>
        <v/>
      </c>
      <c r="R145">
        <f>IF(O145&gt;=90%,"High Productivity",IF(O145&gt;=60%,"Medium Productivity","Low Productivity"))</f>
        <v/>
      </c>
      <c r="S145">
        <f>ROUND((F145/5)*50+N145*25+O145*25,1)</f>
        <v/>
      </c>
    </row>
    <row r="146">
      <c r="A146" t="inlineStr">
        <is>
          <t>EMP1145</t>
        </is>
      </c>
      <c r="B146" t="inlineStr">
        <is>
          <t>Employee 145</t>
        </is>
      </c>
      <c r="C146" t="inlineStr">
        <is>
          <t>Operations</t>
        </is>
      </c>
      <c r="D146" t="inlineStr">
        <is>
          <t>Operations Manager</t>
        </is>
      </c>
      <c r="E146" t="inlineStr">
        <is>
          <t>Divya Iyer</t>
        </is>
      </c>
      <c r="F146" t="n">
        <v>1</v>
      </c>
      <c r="G146" t="n">
        <v>44</v>
      </c>
      <c r="H146" t="n">
        <v>32</v>
      </c>
      <c r="I146" t="n">
        <v>153</v>
      </c>
      <c r="J146" t="n">
        <v>117</v>
      </c>
      <c r="K146" t="n">
        <v>6</v>
      </c>
      <c r="L146" t="inlineStr">
        <is>
          <t>Needs close supervision</t>
        </is>
      </c>
      <c r="M146" s="2" t="n">
        <v>45962</v>
      </c>
      <c r="N146" s="3">
        <f>IFERROR(J146/I146,0)</f>
        <v/>
      </c>
      <c r="O146" s="3">
        <f>IFERROR(H146/G146,0)</f>
        <v/>
      </c>
      <c r="P146">
        <f>IF(K146&lt;10,"Low",IF(K146&lt;=20,"Medium","High"))</f>
        <v/>
      </c>
      <c r="Q146">
        <f>IF(AND(F146&gt;=4,N146&gt;=80%),"Star Performer",IF(F146&gt;=3,"Meets Expectations","Needs Improvement"))</f>
        <v/>
      </c>
      <c r="R146">
        <f>IF(O146&gt;=90%,"High Productivity",IF(O146&gt;=60%,"Medium Productivity","Low Productivity"))</f>
        <v/>
      </c>
      <c r="S146">
        <f>ROUND((F146/5)*50+N146*25+O146*25,1)</f>
        <v/>
      </c>
    </row>
    <row r="147">
      <c r="A147" t="inlineStr">
        <is>
          <t>EMP1146</t>
        </is>
      </c>
      <c r="B147" t="inlineStr">
        <is>
          <t>Employee 146</t>
        </is>
      </c>
      <c r="C147" t="inlineStr">
        <is>
          <t>Operations</t>
        </is>
      </c>
      <c r="D147" t="inlineStr">
        <is>
          <t>Operations Manager</t>
        </is>
      </c>
      <c r="E147" t="inlineStr">
        <is>
          <t>Divya Iyer</t>
        </is>
      </c>
      <c r="F147" t="n">
        <v>1</v>
      </c>
      <c r="G147" t="n">
        <v>50</v>
      </c>
      <c r="H147" t="n">
        <v>41</v>
      </c>
      <c r="I147" t="n">
        <v>216</v>
      </c>
      <c r="J147" t="n">
        <v>123</v>
      </c>
      <c r="K147" t="n">
        <v>3</v>
      </c>
      <c r="L147" t="inlineStr">
        <is>
          <t>Needs close supervision</t>
        </is>
      </c>
      <c r="M147" s="2" t="n">
        <v>45717</v>
      </c>
      <c r="N147" s="3">
        <f>IFERROR(J147/I147,0)</f>
        <v/>
      </c>
      <c r="O147" s="3">
        <f>IFERROR(H147/G147,0)</f>
        <v/>
      </c>
      <c r="P147">
        <f>IF(K147&lt;10,"Low",IF(K147&lt;=20,"Medium","High"))</f>
        <v/>
      </c>
      <c r="Q147">
        <f>IF(AND(F147&gt;=4,N147&gt;=80%),"Star Performer",IF(F147&gt;=3,"Meets Expectations","Needs Improvement"))</f>
        <v/>
      </c>
      <c r="R147">
        <f>IF(O147&gt;=90%,"High Productivity",IF(O147&gt;=60%,"Medium Productivity","Low Productivity"))</f>
        <v/>
      </c>
      <c r="S147">
        <f>ROUND((F147/5)*50+N147*25+O147*25,1)</f>
        <v/>
      </c>
    </row>
    <row r="148">
      <c r="A148" t="inlineStr">
        <is>
          <t>EMP1147</t>
        </is>
      </c>
      <c r="B148" t="inlineStr">
        <is>
          <t>Employee 147</t>
        </is>
      </c>
      <c r="C148" t="inlineStr">
        <is>
          <t>Operations</t>
        </is>
      </c>
      <c r="D148" t="inlineStr">
        <is>
          <t>Process Analyst</t>
        </is>
      </c>
      <c r="E148" t="inlineStr">
        <is>
          <t>Rahul Menon</t>
        </is>
      </c>
      <c r="F148" t="n">
        <v>4</v>
      </c>
      <c r="G148" t="n">
        <v>47</v>
      </c>
      <c r="H148" t="n">
        <v>39</v>
      </c>
      <c r="I148" t="n">
        <v>210</v>
      </c>
      <c r="J148" t="n">
        <v>125</v>
      </c>
      <c r="K148" t="n">
        <v>17</v>
      </c>
      <c r="L148" t="inlineStr">
        <is>
          <t>Strong contributor</t>
        </is>
      </c>
      <c r="M148" s="2" t="n">
        <v>45901</v>
      </c>
      <c r="N148" s="3">
        <f>IFERROR(J148/I148,0)</f>
        <v/>
      </c>
      <c r="O148" s="3">
        <f>IFERROR(H148/G148,0)</f>
        <v/>
      </c>
      <c r="P148">
        <f>IF(K148&lt;10,"Low",IF(K148&lt;=20,"Medium","High"))</f>
        <v/>
      </c>
      <c r="Q148">
        <f>IF(AND(F148&gt;=4,N148&gt;=80%),"Star Performer",IF(F148&gt;=3,"Meets Expectations","Needs Improvement"))</f>
        <v/>
      </c>
      <c r="R148">
        <f>IF(O148&gt;=90%,"High Productivity",IF(O148&gt;=60%,"Medium Productivity","Low Productivity"))</f>
        <v/>
      </c>
      <c r="S148">
        <f>ROUND((F148/5)*50+N148*25+O148*25,1)</f>
        <v/>
      </c>
    </row>
    <row r="149">
      <c r="A149" t="inlineStr">
        <is>
          <t>EMP1148</t>
        </is>
      </c>
      <c r="B149" t="inlineStr">
        <is>
          <t>Employee 148</t>
        </is>
      </c>
      <c r="C149" t="inlineStr">
        <is>
          <t>Marketing</t>
        </is>
      </c>
      <c r="D149" t="inlineStr">
        <is>
          <t>Marketing Executive</t>
        </is>
      </c>
      <c r="E149" t="inlineStr">
        <is>
          <t>Priya Sharma</t>
        </is>
      </c>
      <c r="F149" t="n">
        <v>3</v>
      </c>
      <c r="G149" t="n">
        <v>111</v>
      </c>
      <c r="H149" t="n">
        <v>90</v>
      </c>
      <c r="I149" t="n">
        <v>220</v>
      </c>
      <c r="J149" t="n">
        <v>216</v>
      </c>
      <c r="K149" t="n">
        <v>23</v>
      </c>
      <c r="L149" t="inlineStr">
        <is>
          <t>Meets expectations</t>
        </is>
      </c>
      <c r="M149" s="2" t="n">
        <v>45689</v>
      </c>
      <c r="N149" s="3">
        <f>IFERROR(J149/I149,0)</f>
        <v/>
      </c>
      <c r="O149" s="3">
        <f>IFERROR(H149/G149,0)</f>
        <v/>
      </c>
      <c r="P149">
        <f>IF(K149&lt;10,"Low",IF(K149&lt;=20,"Medium","High"))</f>
        <v/>
      </c>
      <c r="Q149">
        <f>IF(AND(F149&gt;=4,N149&gt;=80%),"Star Performer",IF(F149&gt;=3,"Meets Expectations","Needs Improvement"))</f>
        <v/>
      </c>
      <c r="R149">
        <f>IF(O149&gt;=90%,"High Productivity",IF(O149&gt;=60%,"Medium Productivity","Low Productivity"))</f>
        <v/>
      </c>
      <c r="S149">
        <f>ROUND((F149/5)*50+N149*25+O149*25,1)</f>
        <v/>
      </c>
    </row>
    <row r="150">
      <c r="A150" t="inlineStr">
        <is>
          <t>EMP1149</t>
        </is>
      </c>
      <c r="B150" t="inlineStr">
        <is>
          <t>Employee 149</t>
        </is>
      </c>
      <c r="C150" t="inlineStr">
        <is>
          <t>Customer Support</t>
        </is>
      </c>
      <c r="D150" t="inlineStr">
        <is>
          <t>Support Executive</t>
        </is>
      </c>
      <c r="E150" t="inlineStr">
        <is>
          <t>Meena Joseph</t>
        </is>
      </c>
      <c r="F150" t="n">
        <v>3</v>
      </c>
      <c r="G150" t="n">
        <v>73</v>
      </c>
      <c r="H150" t="n">
        <v>66</v>
      </c>
      <c r="I150" t="n">
        <v>214</v>
      </c>
      <c r="J150" t="n">
        <v>169</v>
      </c>
      <c r="K150" t="n">
        <v>7</v>
      </c>
      <c r="L150" t="inlineStr">
        <is>
          <t>Meets expectations</t>
        </is>
      </c>
      <c r="M150" s="2" t="n">
        <v>45870</v>
      </c>
      <c r="N150" s="3">
        <f>IFERROR(J150/I150,0)</f>
        <v/>
      </c>
      <c r="O150" s="3">
        <f>IFERROR(H150/G150,0)</f>
        <v/>
      </c>
      <c r="P150">
        <f>IF(K150&lt;10,"Low",IF(K150&lt;=20,"Medium","High"))</f>
        <v/>
      </c>
      <c r="Q150">
        <f>IF(AND(F150&gt;=4,N150&gt;=80%),"Star Performer",IF(F150&gt;=3,"Meets Expectations","Needs Improvement"))</f>
        <v/>
      </c>
      <c r="R150">
        <f>IF(O150&gt;=90%,"High Productivity",IF(O150&gt;=60%,"Medium Productivity","Low Productivity"))</f>
        <v/>
      </c>
      <c r="S150">
        <f>ROUND((F150/5)*50+N150*25+O150*25,1)</f>
        <v/>
      </c>
    </row>
    <row r="151">
      <c r="A151" t="inlineStr">
        <is>
          <t>EMP1150</t>
        </is>
      </c>
      <c r="B151" t="inlineStr">
        <is>
          <t>Employee 150</t>
        </is>
      </c>
      <c r="C151" t="inlineStr">
        <is>
          <t>Marketing</t>
        </is>
      </c>
      <c r="D151" t="inlineStr">
        <is>
          <t>Brand Executive</t>
        </is>
      </c>
      <c r="E151" t="inlineStr">
        <is>
          <t>Priya Sharma</t>
        </is>
      </c>
      <c r="F151" t="n">
        <v>1</v>
      </c>
      <c r="G151" t="n">
        <v>35</v>
      </c>
      <c r="H151" t="n">
        <v>23</v>
      </c>
      <c r="I151" t="n">
        <v>159</v>
      </c>
      <c r="J151" t="n">
        <v>84</v>
      </c>
      <c r="K151" t="n">
        <v>14</v>
      </c>
      <c r="L151" t="inlineStr">
        <is>
          <t>Needs close supervision</t>
        </is>
      </c>
      <c r="M151" s="2" t="n">
        <v>45658</v>
      </c>
      <c r="N151" s="3">
        <f>IFERROR(J151/I151,0)</f>
        <v/>
      </c>
      <c r="O151" s="3">
        <f>IFERROR(H151/G151,0)</f>
        <v/>
      </c>
      <c r="P151">
        <f>IF(K151&lt;10,"Low",IF(K151&lt;=20,"Medium","High"))</f>
        <v/>
      </c>
      <c r="Q151">
        <f>IF(AND(F151&gt;=4,N151&gt;=80%),"Star Performer",IF(F151&gt;=3,"Meets Expectations","Needs Improvement"))</f>
        <v/>
      </c>
      <c r="R151">
        <f>IF(O151&gt;=90%,"High Productivity",IF(O151&gt;=60%,"Medium Productivity","Low Productivity"))</f>
        <v/>
      </c>
      <c r="S151">
        <f>ROUND((F151/5)*50+N151*25+O151*25,1)</f>
        <v/>
      </c>
    </row>
    <row r="152">
      <c r="A152" t="inlineStr">
        <is>
          <t>EMP1151</t>
        </is>
      </c>
      <c r="B152" t="inlineStr">
        <is>
          <t>Employee 151</t>
        </is>
      </c>
      <c r="C152" t="inlineStr">
        <is>
          <t>Operations</t>
        </is>
      </c>
      <c r="D152" t="inlineStr">
        <is>
          <t>Operations Executive</t>
        </is>
      </c>
      <c r="E152" t="inlineStr">
        <is>
          <t>Meena Joseph</t>
        </is>
      </c>
      <c r="F152" t="n">
        <v>4</v>
      </c>
      <c r="G152" t="n">
        <v>111</v>
      </c>
      <c r="H152" t="n">
        <v>77</v>
      </c>
      <c r="I152" t="n">
        <v>192</v>
      </c>
      <c r="J152" t="n">
        <v>131</v>
      </c>
      <c r="K152" t="n">
        <v>2</v>
      </c>
      <c r="L152" t="inlineStr">
        <is>
          <t>Strong contributor</t>
        </is>
      </c>
      <c r="M152" s="2" t="n">
        <v>45870</v>
      </c>
      <c r="N152" s="3">
        <f>IFERROR(J152/I152,0)</f>
        <v/>
      </c>
      <c r="O152" s="3">
        <f>IFERROR(H152/G152,0)</f>
        <v/>
      </c>
      <c r="P152">
        <f>IF(K152&lt;10,"Low",IF(K152&lt;=20,"Medium","High"))</f>
        <v/>
      </c>
      <c r="Q152">
        <f>IF(AND(F152&gt;=4,N152&gt;=80%),"Star Performer",IF(F152&gt;=3,"Meets Expectations","Needs Improvement"))</f>
        <v/>
      </c>
      <c r="R152">
        <f>IF(O152&gt;=90%,"High Productivity",IF(O152&gt;=60%,"Medium Productivity","Low Productivity"))</f>
        <v/>
      </c>
      <c r="S152">
        <f>ROUND((F152/5)*50+N152*25+O152*25,1)</f>
        <v/>
      </c>
    </row>
    <row r="153">
      <c r="A153" t="inlineStr">
        <is>
          <t>EMP1152</t>
        </is>
      </c>
      <c r="B153" t="inlineStr">
        <is>
          <t>Employee 152</t>
        </is>
      </c>
      <c r="C153" t="inlineStr">
        <is>
          <t>Marketing</t>
        </is>
      </c>
      <c r="D153" t="inlineStr">
        <is>
          <t>Marketing Executive</t>
        </is>
      </c>
      <c r="E153" t="inlineStr">
        <is>
          <t>Priya Sharma</t>
        </is>
      </c>
      <c r="F153" t="n">
        <v>3</v>
      </c>
      <c r="G153" t="n">
        <v>40</v>
      </c>
      <c r="H153" t="n">
        <v>31</v>
      </c>
      <c r="I153" t="n">
        <v>173</v>
      </c>
      <c r="J153" t="n">
        <v>112</v>
      </c>
      <c r="K153" t="n">
        <v>26</v>
      </c>
      <c r="L153" t="inlineStr">
        <is>
          <t>Meets expectations</t>
        </is>
      </c>
      <c r="M153" s="2" t="n">
        <v>45778</v>
      </c>
      <c r="N153" s="3">
        <f>IFERROR(J153/I153,0)</f>
        <v/>
      </c>
      <c r="O153" s="3">
        <f>IFERROR(H153/G153,0)</f>
        <v/>
      </c>
      <c r="P153">
        <f>IF(K153&lt;10,"Low",IF(K153&lt;=20,"Medium","High"))</f>
        <v/>
      </c>
      <c r="Q153">
        <f>IF(AND(F153&gt;=4,N153&gt;=80%),"Star Performer",IF(F153&gt;=3,"Meets Expectations","Needs Improvement"))</f>
        <v/>
      </c>
      <c r="R153">
        <f>IF(O153&gt;=90%,"High Productivity",IF(O153&gt;=60%,"Medium Productivity","Low Productivity"))</f>
        <v/>
      </c>
      <c r="S153">
        <f>ROUND((F153/5)*50+N153*25+O153*25,1)</f>
        <v/>
      </c>
    </row>
    <row r="154">
      <c r="A154" t="inlineStr">
        <is>
          <t>EMP1153</t>
        </is>
      </c>
      <c r="B154" t="inlineStr">
        <is>
          <t>Employee 153</t>
        </is>
      </c>
      <c r="C154" t="inlineStr">
        <is>
          <t>IT</t>
        </is>
      </c>
      <c r="D154" t="inlineStr">
        <is>
          <t>QA Analyst</t>
        </is>
      </c>
      <c r="E154" t="inlineStr">
        <is>
          <t>Divya Iyer</t>
        </is>
      </c>
      <c r="F154" t="n">
        <v>2</v>
      </c>
      <c r="G154" t="n">
        <v>35</v>
      </c>
      <c r="H154" t="n">
        <v>28</v>
      </c>
      <c r="I154" t="n">
        <v>215</v>
      </c>
      <c r="J154" t="n">
        <v>122</v>
      </c>
      <c r="K154" t="n">
        <v>14</v>
      </c>
      <c r="L154" t="inlineStr">
        <is>
          <t>Needs additional guidance</t>
        </is>
      </c>
      <c r="M154" s="2" t="n">
        <v>45992</v>
      </c>
      <c r="N154" s="3">
        <f>IFERROR(J154/I154,0)</f>
        <v/>
      </c>
      <c r="O154" s="3">
        <f>IFERROR(H154/G154,0)</f>
        <v/>
      </c>
      <c r="P154">
        <f>IF(K154&lt;10,"Low",IF(K154&lt;=20,"Medium","High"))</f>
        <v/>
      </c>
      <c r="Q154">
        <f>IF(AND(F154&gt;=4,N154&gt;=80%),"Star Performer",IF(F154&gt;=3,"Meets Expectations","Needs Improvement"))</f>
        <v/>
      </c>
      <c r="R154">
        <f>IF(O154&gt;=90%,"High Productivity",IF(O154&gt;=60%,"Medium Productivity","Low Productivity"))</f>
        <v/>
      </c>
      <c r="S154">
        <f>ROUND((F154/5)*50+N154*25+O154*25,1)</f>
        <v/>
      </c>
    </row>
    <row r="155">
      <c r="A155" t="inlineStr">
        <is>
          <t>EMP1154</t>
        </is>
      </c>
      <c r="B155" t="inlineStr">
        <is>
          <t>Employee 154</t>
        </is>
      </c>
      <c r="C155" t="inlineStr">
        <is>
          <t>Sales</t>
        </is>
      </c>
      <c r="D155" t="inlineStr">
        <is>
          <t>Sales Manager</t>
        </is>
      </c>
      <c r="E155" t="inlineStr">
        <is>
          <t>Divya Iyer</t>
        </is>
      </c>
      <c r="F155" t="n">
        <v>3</v>
      </c>
      <c r="G155" t="n">
        <v>55</v>
      </c>
      <c r="H155" t="n">
        <v>65</v>
      </c>
      <c r="I155" t="n">
        <v>156</v>
      </c>
      <c r="J155" t="n">
        <v>126</v>
      </c>
      <c r="K155" t="n">
        <v>18</v>
      </c>
      <c r="L155" t="inlineStr">
        <is>
          <t>Meets expectations</t>
        </is>
      </c>
      <c r="M155" s="2" t="n">
        <v>45748</v>
      </c>
      <c r="N155" s="3">
        <f>IFERROR(J155/I155,0)</f>
        <v/>
      </c>
      <c r="O155" s="3">
        <f>IFERROR(H155/G155,0)</f>
        <v/>
      </c>
      <c r="P155">
        <f>IF(K155&lt;10,"Low",IF(K155&lt;=20,"Medium","High"))</f>
        <v/>
      </c>
      <c r="Q155">
        <f>IF(AND(F155&gt;=4,N155&gt;=80%),"Star Performer",IF(F155&gt;=3,"Meets Expectations","Needs Improvement"))</f>
        <v/>
      </c>
      <c r="R155">
        <f>IF(O155&gt;=90%,"High Productivity",IF(O155&gt;=60%,"Medium Productivity","Low Productivity"))</f>
        <v/>
      </c>
      <c r="S155">
        <f>ROUND((F155/5)*50+N155*25+O155*25,1)</f>
        <v/>
      </c>
    </row>
    <row r="156">
      <c r="A156" t="inlineStr">
        <is>
          <t>EMP1155</t>
        </is>
      </c>
      <c r="B156" t="inlineStr">
        <is>
          <t>Employee 155</t>
        </is>
      </c>
      <c r="C156" t="inlineStr">
        <is>
          <t>Marketing</t>
        </is>
      </c>
      <c r="D156" t="inlineStr">
        <is>
          <t>Digital Marketing Analyst</t>
        </is>
      </c>
      <c r="E156" t="inlineStr">
        <is>
          <t>Priya Sharma</t>
        </is>
      </c>
      <c r="F156" t="n">
        <v>4</v>
      </c>
      <c r="G156" t="n">
        <v>87</v>
      </c>
      <c r="H156" t="n">
        <v>44</v>
      </c>
      <c r="I156" t="n">
        <v>161</v>
      </c>
      <c r="J156" t="n">
        <v>132</v>
      </c>
      <c r="K156" t="n">
        <v>12</v>
      </c>
      <c r="L156" t="inlineStr">
        <is>
          <t>Strong contributor</t>
        </is>
      </c>
      <c r="M156" s="2" t="n">
        <v>45748</v>
      </c>
      <c r="N156" s="3">
        <f>IFERROR(J156/I156,0)</f>
        <v/>
      </c>
      <c r="O156" s="3">
        <f>IFERROR(H156/G156,0)</f>
        <v/>
      </c>
      <c r="P156">
        <f>IF(K156&lt;10,"Low",IF(K156&lt;=20,"Medium","High"))</f>
        <v/>
      </c>
      <c r="Q156">
        <f>IF(AND(F156&gt;=4,N156&gt;=80%),"Star Performer",IF(F156&gt;=3,"Meets Expectations","Needs Improvement"))</f>
        <v/>
      </c>
      <c r="R156">
        <f>IF(O156&gt;=90%,"High Productivity",IF(O156&gt;=60%,"Medium Productivity","Low Productivity"))</f>
        <v/>
      </c>
      <c r="S156">
        <f>ROUND((F156/5)*50+N156*25+O156*25,1)</f>
        <v/>
      </c>
    </row>
    <row r="157">
      <c r="A157" t="inlineStr">
        <is>
          <t>EMP1156</t>
        </is>
      </c>
      <c r="B157" t="inlineStr">
        <is>
          <t>Employee 156</t>
        </is>
      </c>
      <c r="C157" t="inlineStr">
        <is>
          <t>Customer Support</t>
        </is>
      </c>
      <c r="D157" t="inlineStr">
        <is>
          <t>Support Analyst</t>
        </is>
      </c>
      <c r="E157" t="inlineStr">
        <is>
          <t>Arun Kumar</t>
        </is>
      </c>
      <c r="F157" t="n">
        <v>2</v>
      </c>
      <c r="G157" t="n">
        <v>42</v>
      </c>
      <c r="H157" t="n">
        <v>27</v>
      </c>
      <c r="I157" t="n">
        <v>189</v>
      </c>
      <c r="J157" t="n">
        <v>112</v>
      </c>
      <c r="K157" t="n">
        <v>25</v>
      </c>
      <c r="L157" t="inlineStr">
        <is>
          <t>Needs additional guidance</t>
        </is>
      </c>
      <c r="M157" s="2" t="n">
        <v>45717</v>
      </c>
      <c r="N157" s="3">
        <f>IFERROR(J157/I157,0)</f>
        <v/>
      </c>
      <c r="O157" s="3">
        <f>IFERROR(H157/G157,0)</f>
        <v/>
      </c>
      <c r="P157">
        <f>IF(K157&lt;10,"Low",IF(K157&lt;=20,"Medium","High"))</f>
        <v/>
      </c>
      <c r="Q157">
        <f>IF(AND(F157&gt;=4,N157&gt;=80%),"Star Performer",IF(F157&gt;=3,"Meets Expectations","Needs Improvement"))</f>
        <v/>
      </c>
      <c r="R157">
        <f>IF(O157&gt;=90%,"High Productivity",IF(O157&gt;=60%,"Medium Productivity","Low Productivity"))</f>
        <v/>
      </c>
      <c r="S157">
        <f>ROUND((F157/5)*50+N157*25+O157*25,1)</f>
        <v/>
      </c>
    </row>
    <row r="158">
      <c r="A158" t="inlineStr">
        <is>
          <t>EMP1157</t>
        </is>
      </c>
      <c r="B158" t="inlineStr">
        <is>
          <t>Employee 157</t>
        </is>
      </c>
      <c r="C158" t="inlineStr">
        <is>
          <t>Finance</t>
        </is>
      </c>
      <c r="D158" t="inlineStr">
        <is>
          <t>Accountant</t>
        </is>
      </c>
      <c r="E158" t="inlineStr">
        <is>
          <t>Priya Sharma</t>
        </is>
      </c>
      <c r="F158" t="n">
        <v>5</v>
      </c>
      <c r="G158" t="n">
        <v>45</v>
      </c>
      <c r="H158" t="n">
        <v>39</v>
      </c>
      <c r="I158" t="n">
        <v>171</v>
      </c>
      <c r="J158" t="n">
        <v>122</v>
      </c>
      <c r="K158" t="n">
        <v>31</v>
      </c>
      <c r="L158" t="inlineStr">
        <is>
          <t>Exceptional performer</t>
        </is>
      </c>
      <c r="M158" s="2" t="n">
        <v>45689</v>
      </c>
      <c r="N158" s="3">
        <f>IFERROR(J158/I158,0)</f>
        <v/>
      </c>
      <c r="O158" s="3">
        <f>IFERROR(H158/G158,0)</f>
        <v/>
      </c>
      <c r="P158">
        <f>IF(K158&lt;10,"Low",IF(K158&lt;=20,"Medium","High"))</f>
        <v/>
      </c>
      <c r="Q158">
        <f>IF(AND(F158&gt;=4,N158&gt;=80%),"Star Performer",IF(F158&gt;=3,"Meets Expectations","Needs Improvement"))</f>
        <v/>
      </c>
      <c r="R158">
        <f>IF(O158&gt;=90%,"High Productivity",IF(O158&gt;=60%,"Medium Productivity","Low Productivity"))</f>
        <v/>
      </c>
      <c r="S158">
        <f>ROUND((F158/5)*50+N158*25+O158*25,1)</f>
        <v/>
      </c>
    </row>
    <row r="159">
      <c r="A159" t="inlineStr">
        <is>
          <t>EMP1158</t>
        </is>
      </c>
      <c r="B159" t="inlineStr">
        <is>
          <t>Employee 158</t>
        </is>
      </c>
      <c r="C159" t="inlineStr">
        <is>
          <t>Finance</t>
        </is>
      </c>
      <c r="D159" t="inlineStr">
        <is>
          <t>Financial Analyst</t>
        </is>
      </c>
      <c r="E159" t="inlineStr">
        <is>
          <t>Priya Sharma</t>
        </is>
      </c>
      <c r="F159" t="n">
        <v>4</v>
      </c>
      <c r="G159" t="n">
        <v>45</v>
      </c>
      <c r="H159" t="n">
        <v>38</v>
      </c>
      <c r="I159" t="n">
        <v>150</v>
      </c>
      <c r="J159" t="n">
        <v>121</v>
      </c>
      <c r="K159" t="n">
        <v>18</v>
      </c>
      <c r="L159" t="inlineStr">
        <is>
          <t>Strong contributor</t>
        </is>
      </c>
      <c r="M159" s="2" t="n">
        <v>45931</v>
      </c>
      <c r="N159" s="3">
        <f>IFERROR(J159/I159,0)</f>
        <v/>
      </c>
      <c r="O159" s="3">
        <f>IFERROR(H159/G159,0)</f>
        <v/>
      </c>
      <c r="P159">
        <f>IF(K159&lt;10,"Low",IF(K159&lt;=20,"Medium","High"))</f>
        <v/>
      </c>
      <c r="Q159">
        <f>IF(AND(F159&gt;=4,N159&gt;=80%),"Star Performer",IF(F159&gt;=3,"Meets Expectations","Needs Improvement"))</f>
        <v/>
      </c>
      <c r="R159">
        <f>IF(O159&gt;=90%,"High Productivity",IF(O159&gt;=60%,"Medium Productivity","Low Productivity"))</f>
        <v/>
      </c>
      <c r="S159">
        <f>ROUND((F159/5)*50+N159*25+O159*25,1)</f>
        <v/>
      </c>
    </row>
    <row r="160">
      <c r="A160" t="inlineStr">
        <is>
          <t>EMP1159</t>
        </is>
      </c>
      <c r="B160" t="inlineStr">
        <is>
          <t>Employee 159</t>
        </is>
      </c>
      <c r="C160" t="inlineStr">
        <is>
          <t>Marketing</t>
        </is>
      </c>
      <c r="D160" t="inlineStr">
        <is>
          <t>Digital Marketing Analyst</t>
        </is>
      </c>
      <c r="E160" t="inlineStr">
        <is>
          <t>Arun Kumar</t>
        </is>
      </c>
      <c r="F160" t="n">
        <v>4</v>
      </c>
      <c r="G160" t="n">
        <v>36</v>
      </c>
      <c r="H160" t="n">
        <v>30</v>
      </c>
      <c r="I160" t="n">
        <v>186</v>
      </c>
      <c r="J160" t="n">
        <v>128</v>
      </c>
      <c r="K160" t="n">
        <v>14</v>
      </c>
      <c r="L160" t="inlineStr">
        <is>
          <t>Strong contributor</t>
        </is>
      </c>
      <c r="M160" s="2" t="n">
        <v>45931</v>
      </c>
      <c r="N160" s="3">
        <f>IFERROR(J160/I160,0)</f>
        <v/>
      </c>
      <c r="O160" s="3">
        <f>IFERROR(H160/G160,0)</f>
        <v/>
      </c>
      <c r="P160">
        <f>IF(K160&lt;10,"Low",IF(K160&lt;=20,"Medium","High"))</f>
        <v/>
      </c>
      <c r="Q160">
        <f>IF(AND(F160&gt;=4,N160&gt;=80%),"Star Performer",IF(F160&gt;=3,"Meets Expectations","Needs Improvement"))</f>
        <v/>
      </c>
      <c r="R160">
        <f>IF(O160&gt;=90%,"High Productivity",IF(O160&gt;=60%,"Medium Productivity","Low Productivity"))</f>
        <v/>
      </c>
      <c r="S160">
        <f>ROUND((F160/5)*50+N160*25+O160*25,1)</f>
        <v/>
      </c>
    </row>
    <row r="161">
      <c r="A161" t="inlineStr">
        <is>
          <t>EMP1160</t>
        </is>
      </c>
      <c r="B161" t="inlineStr">
        <is>
          <t>Employee 160</t>
        </is>
      </c>
      <c r="C161" t="inlineStr">
        <is>
          <t>Operations</t>
        </is>
      </c>
      <c r="D161" t="inlineStr">
        <is>
          <t>Process Analyst</t>
        </is>
      </c>
      <c r="E161" t="inlineStr">
        <is>
          <t>Meena Joseph</t>
        </is>
      </c>
      <c r="F161" t="n">
        <v>4</v>
      </c>
      <c r="G161" t="n">
        <v>96</v>
      </c>
      <c r="H161" t="n">
        <v>85</v>
      </c>
      <c r="I161" t="n">
        <v>221</v>
      </c>
      <c r="J161" t="n">
        <v>176</v>
      </c>
      <c r="K161" t="n">
        <v>26</v>
      </c>
      <c r="L161" t="inlineStr">
        <is>
          <t>Strong contributor</t>
        </is>
      </c>
      <c r="M161" s="2" t="n">
        <v>45689</v>
      </c>
      <c r="N161" s="3">
        <f>IFERROR(J161/I161,0)</f>
        <v/>
      </c>
      <c r="O161" s="3">
        <f>IFERROR(H161/G161,0)</f>
        <v/>
      </c>
      <c r="P161">
        <f>IF(K161&lt;10,"Low",IF(K161&lt;=20,"Medium","High"))</f>
        <v/>
      </c>
      <c r="Q161">
        <f>IF(AND(F161&gt;=4,N161&gt;=80%),"Star Performer",IF(F161&gt;=3,"Meets Expectations","Needs Improvement"))</f>
        <v/>
      </c>
      <c r="R161">
        <f>IF(O161&gt;=90%,"High Productivity",IF(O161&gt;=60%,"Medium Productivity","Low Productivity"))</f>
        <v/>
      </c>
      <c r="S161">
        <f>ROUND((F161/5)*50+N161*25+O161*25,1)</f>
        <v/>
      </c>
    </row>
    <row r="162">
      <c r="A162" t="inlineStr">
        <is>
          <t>EMP1161</t>
        </is>
      </c>
      <c r="B162" t="inlineStr">
        <is>
          <t>Employee 161</t>
        </is>
      </c>
      <c r="C162" t="inlineStr">
        <is>
          <t>IT</t>
        </is>
      </c>
      <c r="D162" t="inlineStr">
        <is>
          <t>Software Engineer</t>
        </is>
      </c>
      <c r="E162" t="inlineStr">
        <is>
          <t>Meena Joseph</t>
        </is>
      </c>
      <c r="F162" t="n">
        <v>4</v>
      </c>
      <c r="G162" t="n">
        <v>57</v>
      </c>
      <c r="H162" t="n">
        <v>57</v>
      </c>
      <c r="I162" t="n">
        <v>148</v>
      </c>
      <c r="J162" t="n">
        <v>134</v>
      </c>
      <c r="K162" t="n">
        <v>14</v>
      </c>
      <c r="L162" t="inlineStr">
        <is>
          <t>Strong contributor</t>
        </is>
      </c>
      <c r="M162" s="2" t="n">
        <v>45748</v>
      </c>
      <c r="N162" s="3">
        <f>IFERROR(J162/I162,0)</f>
        <v/>
      </c>
      <c r="O162" s="3">
        <f>IFERROR(H162/G162,0)</f>
        <v/>
      </c>
      <c r="P162">
        <f>IF(K162&lt;10,"Low",IF(K162&lt;=20,"Medium","High"))</f>
        <v/>
      </c>
      <c r="Q162">
        <f>IF(AND(F162&gt;=4,N162&gt;=80%),"Star Performer",IF(F162&gt;=3,"Meets Expectations","Needs Improvement"))</f>
        <v/>
      </c>
      <c r="R162">
        <f>IF(O162&gt;=90%,"High Productivity",IF(O162&gt;=60%,"Medium Productivity","Low Productivity"))</f>
        <v/>
      </c>
      <c r="S162">
        <f>ROUND((F162/5)*50+N162*25+O162*25,1)</f>
        <v/>
      </c>
    </row>
    <row r="163">
      <c r="A163" t="inlineStr">
        <is>
          <t>EMP1162</t>
        </is>
      </c>
      <c r="B163" t="inlineStr">
        <is>
          <t>Employee 162</t>
        </is>
      </c>
      <c r="C163" t="inlineStr">
        <is>
          <t>HR</t>
        </is>
      </c>
      <c r="D163" t="inlineStr">
        <is>
          <t>Recruiter</t>
        </is>
      </c>
      <c r="E163" t="inlineStr">
        <is>
          <t>Rahul Menon</t>
        </is>
      </c>
      <c r="F163" t="n">
        <v>2</v>
      </c>
      <c r="G163" t="n">
        <v>87</v>
      </c>
      <c r="H163" t="n">
        <v>66</v>
      </c>
      <c r="I163" t="n">
        <v>181</v>
      </c>
      <c r="J163" t="n">
        <v>107</v>
      </c>
      <c r="K163" t="n">
        <v>19</v>
      </c>
      <c r="L163" t="inlineStr">
        <is>
          <t>Needs additional guidance</t>
        </is>
      </c>
      <c r="M163" s="2" t="n">
        <v>45839</v>
      </c>
      <c r="N163" s="3">
        <f>IFERROR(J163/I163,0)</f>
        <v/>
      </c>
      <c r="O163" s="3">
        <f>IFERROR(H163/G163,0)</f>
        <v/>
      </c>
      <c r="P163">
        <f>IF(K163&lt;10,"Low",IF(K163&lt;=20,"Medium","High"))</f>
        <v/>
      </c>
      <c r="Q163">
        <f>IF(AND(F163&gt;=4,N163&gt;=80%),"Star Performer",IF(F163&gt;=3,"Meets Expectations","Needs Improvement"))</f>
        <v/>
      </c>
      <c r="R163">
        <f>IF(O163&gt;=90%,"High Productivity",IF(O163&gt;=60%,"Medium Productivity","Low Productivity"))</f>
        <v/>
      </c>
      <c r="S163">
        <f>ROUND((F163/5)*50+N163*25+O163*25,1)</f>
        <v/>
      </c>
    </row>
    <row r="164">
      <c r="A164" t="inlineStr">
        <is>
          <t>EMP1163</t>
        </is>
      </c>
      <c r="B164" t="inlineStr">
        <is>
          <t>Employee 163</t>
        </is>
      </c>
      <c r="C164" t="inlineStr">
        <is>
          <t>Marketing</t>
        </is>
      </c>
      <c r="D164" t="inlineStr">
        <is>
          <t>Digital Marketing Analyst</t>
        </is>
      </c>
      <c r="E164" t="inlineStr">
        <is>
          <t>Rahul Menon</t>
        </is>
      </c>
      <c r="F164" t="n">
        <v>1</v>
      </c>
      <c r="G164" t="n">
        <v>116</v>
      </c>
      <c r="H164" t="n">
        <v>96</v>
      </c>
      <c r="I164" t="n">
        <v>225</v>
      </c>
      <c r="J164" t="n">
        <v>138</v>
      </c>
      <c r="K164" t="n">
        <v>11</v>
      </c>
      <c r="L164" t="inlineStr">
        <is>
          <t>Needs close supervision</t>
        </is>
      </c>
      <c r="M164" s="2" t="n">
        <v>45809</v>
      </c>
      <c r="N164" s="3">
        <f>IFERROR(J164/I164,0)</f>
        <v/>
      </c>
      <c r="O164" s="3">
        <f>IFERROR(H164/G164,0)</f>
        <v/>
      </c>
      <c r="P164">
        <f>IF(K164&lt;10,"Low",IF(K164&lt;=20,"Medium","High"))</f>
        <v/>
      </c>
      <c r="Q164">
        <f>IF(AND(F164&gt;=4,N164&gt;=80%),"Star Performer",IF(F164&gt;=3,"Meets Expectations","Needs Improvement"))</f>
        <v/>
      </c>
      <c r="R164">
        <f>IF(O164&gt;=90%,"High Productivity",IF(O164&gt;=60%,"Medium Productivity","Low Productivity"))</f>
        <v/>
      </c>
      <c r="S164">
        <f>ROUND((F164/5)*50+N164*25+O164*25,1)</f>
        <v/>
      </c>
    </row>
    <row r="165">
      <c r="A165" t="inlineStr">
        <is>
          <t>EMP1164</t>
        </is>
      </c>
      <c r="B165" t="inlineStr">
        <is>
          <t>Employee 164</t>
        </is>
      </c>
      <c r="C165" t="inlineStr">
        <is>
          <t>Customer Support</t>
        </is>
      </c>
      <c r="D165" t="inlineStr">
        <is>
          <t>Customer Success Associate</t>
        </is>
      </c>
      <c r="E165" t="inlineStr">
        <is>
          <t>Rahul Menon</t>
        </is>
      </c>
      <c r="F165" t="n">
        <v>3</v>
      </c>
      <c r="G165" t="n">
        <v>61</v>
      </c>
      <c r="H165" t="n">
        <v>62</v>
      </c>
      <c r="I165" t="n">
        <v>167</v>
      </c>
      <c r="J165" t="n">
        <v>125</v>
      </c>
      <c r="K165" t="n">
        <v>8</v>
      </c>
      <c r="L165" t="inlineStr">
        <is>
          <t>Meets expectations</t>
        </is>
      </c>
      <c r="M165" s="2" t="n">
        <v>45809</v>
      </c>
      <c r="N165" s="3">
        <f>IFERROR(J165/I165,0)</f>
        <v/>
      </c>
      <c r="O165" s="3">
        <f>IFERROR(H165/G165,0)</f>
        <v/>
      </c>
      <c r="P165">
        <f>IF(K165&lt;10,"Low",IF(K165&lt;=20,"Medium","High"))</f>
        <v/>
      </c>
      <c r="Q165">
        <f>IF(AND(F165&gt;=4,N165&gt;=80%),"Star Performer",IF(F165&gt;=3,"Meets Expectations","Needs Improvement"))</f>
        <v/>
      </c>
      <c r="R165">
        <f>IF(O165&gt;=90%,"High Productivity",IF(O165&gt;=60%,"Medium Productivity","Low Productivity"))</f>
        <v/>
      </c>
      <c r="S165">
        <f>ROUND((F165/5)*50+N165*25+O165*25,1)</f>
        <v/>
      </c>
    </row>
    <row r="166">
      <c r="A166" t="inlineStr">
        <is>
          <t>EMP1165</t>
        </is>
      </c>
      <c r="B166" t="inlineStr">
        <is>
          <t>Employee 165</t>
        </is>
      </c>
      <c r="C166" t="inlineStr">
        <is>
          <t>Sales</t>
        </is>
      </c>
      <c r="D166" t="inlineStr">
        <is>
          <t>Sales Manager</t>
        </is>
      </c>
      <c r="E166" t="inlineStr">
        <is>
          <t>Arun Kumar</t>
        </is>
      </c>
      <c r="F166" t="n">
        <v>4</v>
      </c>
      <c r="G166" t="n">
        <v>66</v>
      </c>
      <c r="H166" t="n">
        <v>59</v>
      </c>
      <c r="I166" t="n">
        <v>183</v>
      </c>
      <c r="J166" t="n">
        <v>118</v>
      </c>
      <c r="K166" t="n">
        <v>13</v>
      </c>
      <c r="L166" t="inlineStr">
        <is>
          <t>Strong contributor</t>
        </is>
      </c>
      <c r="M166" s="2" t="n">
        <v>45901</v>
      </c>
      <c r="N166" s="3">
        <f>IFERROR(J166/I166,0)</f>
        <v/>
      </c>
      <c r="O166" s="3">
        <f>IFERROR(H166/G166,0)</f>
        <v/>
      </c>
      <c r="P166">
        <f>IF(K166&lt;10,"Low",IF(K166&lt;=20,"Medium","High"))</f>
        <v/>
      </c>
      <c r="Q166">
        <f>IF(AND(F166&gt;=4,N166&gt;=80%),"Star Performer",IF(F166&gt;=3,"Meets Expectations","Needs Improvement"))</f>
        <v/>
      </c>
      <c r="R166">
        <f>IF(O166&gt;=90%,"High Productivity",IF(O166&gt;=60%,"Medium Productivity","Low Productivity"))</f>
        <v/>
      </c>
      <c r="S166">
        <f>ROUND((F166/5)*50+N166*25+O166*25,1)</f>
        <v/>
      </c>
    </row>
    <row r="167">
      <c r="A167" t="inlineStr">
        <is>
          <t>EMP1166</t>
        </is>
      </c>
      <c r="B167" t="inlineStr">
        <is>
          <t>Employee 166</t>
        </is>
      </c>
      <c r="C167" t="inlineStr">
        <is>
          <t>Sales</t>
        </is>
      </c>
      <c r="D167" t="inlineStr">
        <is>
          <t>Sales Manager</t>
        </is>
      </c>
      <c r="E167" t="inlineStr">
        <is>
          <t>Arun Kumar</t>
        </is>
      </c>
      <c r="F167" t="n">
        <v>5</v>
      </c>
      <c r="G167" t="n">
        <v>72</v>
      </c>
      <c r="H167" t="n">
        <v>64</v>
      </c>
      <c r="I167" t="n">
        <v>200</v>
      </c>
      <c r="J167" t="n">
        <v>154</v>
      </c>
      <c r="K167" t="n">
        <v>11</v>
      </c>
      <c r="L167" t="inlineStr">
        <is>
          <t>Exceptional performer</t>
        </is>
      </c>
      <c r="M167" s="2" t="n">
        <v>45962</v>
      </c>
      <c r="N167" s="3">
        <f>IFERROR(J167/I167,0)</f>
        <v/>
      </c>
      <c r="O167" s="3">
        <f>IFERROR(H167/G167,0)</f>
        <v/>
      </c>
      <c r="P167">
        <f>IF(K167&lt;10,"Low",IF(K167&lt;=20,"Medium","High"))</f>
        <v/>
      </c>
      <c r="Q167">
        <f>IF(AND(F167&gt;=4,N167&gt;=80%),"Star Performer",IF(F167&gt;=3,"Meets Expectations","Needs Improvement"))</f>
        <v/>
      </c>
      <c r="R167">
        <f>IF(O167&gt;=90%,"High Productivity",IF(O167&gt;=60%,"Medium Productivity","Low Productivity"))</f>
        <v/>
      </c>
      <c r="S167">
        <f>ROUND((F167/5)*50+N167*25+O167*25,1)</f>
        <v/>
      </c>
    </row>
    <row r="168">
      <c r="A168" t="inlineStr">
        <is>
          <t>EMP1167</t>
        </is>
      </c>
      <c r="B168" t="inlineStr">
        <is>
          <t>Employee 167</t>
        </is>
      </c>
      <c r="C168" t="inlineStr">
        <is>
          <t>Finance</t>
        </is>
      </c>
      <c r="D168" t="inlineStr">
        <is>
          <t>Accountant</t>
        </is>
      </c>
      <c r="E168" t="inlineStr">
        <is>
          <t>Arun Kumar</t>
        </is>
      </c>
      <c r="F168" t="n">
        <v>5</v>
      </c>
      <c r="G168" t="n">
        <v>69</v>
      </c>
      <c r="H168" t="n">
        <v>77</v>
      </c>
      <c r="I168" t="n">
        <v>183</v>
      </c>
      <c r="J168" t="n">
        <v>132</v>
      </c>
      <c r="K168" t="n">
        <v>14</v>
      </c>
      <c r="L168" t="inlineStr">
        <is>
          <t>Exceptional performer</t>
        </is>
      </c>
      <c r="M168" s="2" t="n">
        <v>45931</v>
      </c>
      <c r="N168" s="3">
        <f>IFERROR(J168/I168,0)</f>
        <v/>
      </c>
      <c r="O168" s="3">
        <f>IFERROR(H168/G168,0)</f>
        <v/>
      </c>
      <c r="P168">
        <f>IF(K168&lt;10,"Low",IF(K168&lt;=20,"Medium","High"))</f>
        <v/>
      </c>
      <c r="Q168">
        <f>IF(AND(F168&gt;=4,N168&gt;=80%),"Star Performer",IF(F168&gt;=3,"Meets Expectations","Needs Improvement"))</f>
        <v/>
      </c>
      <c r="R168">
        <f>IF(O168&gt;=90%,"High Productivity",IF(O168&gt;=60%,"Medium Productivity","Low Productivity"))</f>
        <v/>
      </c>
      <c r="S168">
        <f>ROUND((F168/5)*50+N168*25+O168*25,1)</f>
        <v/>
      </c>
    </row>
    <row r="169">
      <c r="A169" t="inlineStr">
        <is>
          <t>EMP1168</t>
        </is>
      </c>
      <c r="B169" t="inlineStr">
        <is>
          <t>Employee 168</t>
        </is>
      </c>
      <c r="C169" t="inlineStr">
        <is>
          <t>Marketing</t>
        </is>
      </c>
      <c r="D169" t="inlineStr">
        <is>
          <t>Digital Marketing Analyst</t>
        </is>
      </c>
      <c r="E169" t="inlineStr">
        <is>
          <t>Priya Sharma</t>
        </is>
      </c>
      <c r="F169" t="n">
        <v>2</v>
      </c>
      <c r="G169" t="n">
        <v>76</v>
      </c>
      <c r="H169" t="n">
        <v>52</v>
      </c>
      <c r="I169" t="n">
        <v>208</v>
      </c>
      <c r="J169" t="n">
        <v>157</v>
      </c>
      <c r="K169" t="n">
        <v>18</v>
      </c>
      <c r="L169" t="inlineStr">
        <is>
          <t>Needs additional guidance</t>
        </is>
      </c>
      <c r="M169" s="2" t="n">
        <v>45717</v>
      </c>
      <c r="N169" s="3">
        <f>IFERROR(J169/I169,0)</f>
        <v/>
      </c>
      <c r="O169" s="3">
        <f>IFERROR(H169/G169,0)</f>
        <v/>
      </c>
      <c r="P169">
        <f>IF(K169&lt;10,"Low",IF(K169&lt;=20,"Medium","High"))</f>
        <v/>
      </c>
      <c r="Q169">
        <f>IF(AND(F169&gt;=4,N169&gt;=80%),"Star Performer",IF(F169&gt;=3,"Meets Expectations","Needs Improvement"))</f>
        <v/>
      </c>
      <c r="R169">
        <f>IF(O169&gt;=90%,"High Productivity",IF(O169&gt;=60%,"Medium Productivity","Low Productivity"))</f>
        <v/>
      </c>
      <c r="S169">
        <f>ROUND((F169/5)*50+N169*25+O169*25,1)</f>
        <v/>
      </c>
    </row>
    <row r="170">
      <c r="A170" t="inlineStr">
        <is>
          <t>EMP1169</t>
        </is>
      </c>
      <c r="B170" t="inlineStr">
        <is>
          <t>Employee 169</t>
        </is>
      </c>
      <c r="C170" t="inlineStr">
        <is>
          <t>Sales</t>
        </is>
      </c>
      <c r="D170" t="inlineStr">
        <is>
          <t>Business Development Executive</t>
        </is>
      </c>
      <c r="E170" t="inlineStr">
        <is>
          <t>Meena Joseph</t>
        </is>
      </c>
      <c r="F170" t="n">
        <v>4</v>
      </c>
      <c r="G170" t="n">
        <v>110</v>
      </c>
      <c r="H170" t="n">
        <v>122</v>
      </c>
      <c r="I170" t="n">
        <v>146</v>
      </c>
      <c r="J170" t="n">
        <v>101</v>
      </c>
      <c r="K170" t="n">
        <v>21</v>
      </c>
      <c r="L170" t="inlineStr">
        <is>
          <t>Strong contributor</t>
        </is>
      </c>
      <c r="M170" s="2" t="n">
        <v>45809</v>
      </c>
      <c r="N170" s="3">
        <f>IFERROR(J170/I170,0)</f>
        <v/>
      </c>
      <c r="O170" s="3">
        <f>IFERROR(H170/G170,0)</f>
        <v/>
      </c>
      <c r="P170">
        <f>IF(K170&lt;10,"Low",IF(K170&lt;=20,"Medium","High"))</f>
        <v/>
      </c>
      <c r="Q170">
        <f>IF(AND(F170&gt;=4,N170&gt;=80%),"Star Performer",IF(F170&gt;=3,"Meets Expectations","Needs Improvement"))</f>
        <v/>
      </c>
      <c r="R170">
        <f>IF(O170&gt;=90%,"High Productivity",IF(O170&gt;=60%,"Medium Productivity","Low Productivity"))</f>
        <v/>
      </c>
      <c r="S170">
        <f>ROUND((F170/5)*50+N170*25+O170*25,1)</f>
        <v/>
      </c>
    </row>
    <row r="171">
      <c r="A171" t="inlineStr">
        <is>
          <t>EMP1170</t>
        </is>
      </c>
      <c r="B171" t="inlineStr">
        <is>
          <t>Employee 170</t>
        </is>
      </c>
      <c r="C171" t="inlineStr">
        <is>
          <t>Marketing</t>
        </is>
      </c>
      <c r="D171" t="inlineStr">
        <is>
          <t>Marketing Executive</t>
        </is>
      </c>
      <c r="E171" t="inlineStr">
        <is>
          <t>Meena Joseph</t>
        </is>
      </c>
      <c r="F171" t="n">
        <v>3</v>
      </c>
      <c r="G171" t="n">
        <v>53</v>
      </c>
      <c r="H171" t="n">
        <v>43</v>
      </c>
      <c r="I171" t="n">
        <v>174</v>
      </c>
      <c r="J171" t="n">
        <v>147</v>
      </c>
      <c r="K171" t="n">
        <v>13</v>
      </c>
      <c r="L171" t="inlineStr">
        <is>
          <t>Meets expectations</t>
        </is>
      </c>
      <c r="M171" s="2" t="n">
        <v>45717</v>
      </c>
      <c r="N171" s="3">
        <f>IFERROR(J171/I171,0)</f>
        <v/>
      </c>
      <c r="O171" s="3">
        <f>IFERROR(H171/G171,0)</f>
        <v/>
      </c>
      <c r="P171">
        <f>IF(K171&lt;10,"Low",IF(K171&lt;=20,"Medium","High"))</f>
        <v/>
      </c>
      <c r="Q171">
        <f>IF(AND(F171&gt;=4,N171&gt;=80%),"Star Performer",IF(F171&gt;=3,"Meets Expectations","Needs Improvement"))</f>
        <v/>
      </c>
      <c r="R171">
        <f>IF(O171&gt;=90%,"High Productivity",IF(O171&gt;=60%,"Medium Productivity","Low Productivity"))</f>
        <v/>
      </c>
      <c r="S171">
        <f>ROUND((F171/5)*50+N171*25+O171*25,1)</f>
        <v/>
      </c>
    </row>
    <row r="172">
      <c r="A172" t="inlineStr">
        <is>
          <t>EMP1171</t>
        </is>
      </c>
      <c r="B172" t="inlineStr">
        <is>
          <t>Employee 171</t>
        </is>
      </c>
      <c r="C172" t="inlineStr">
        <is>
          <t>HR</t>
        </is>
      </c>
      <c r="D172" t="inlineStr">
        <is>
          <t>HR Analyst</t>
        </is>
      </c>
      <c r="E172" t="inlineStr">
        <is>
          <t>Priya Sharma</t>
        </is>
      </c>
      <c r="F172" t="n">
        <v>4</v>
      </c>
      <c r="G172" t="n">
        <v>84</v>
      </c>
      <c r="H172" t="n">
        <v>74</v>
      </c>
      <c r="I172" t="n">
        <v>188</v>
      </c>
      <c r="J172" t="n">
        <v>137</v>
      </c>
      <c r="K172" t="n">
        <v>10</v>
      </c>
      <c r="L172" t="inlineStr">
        <is>
          <t>Strong contributor</t>
        </is>
      </c>
      <c r="M172" s="2" t="n">
        <v>45901</v>
      </c>
      <c r="N172" s="3">
        <f>IFERROR(J172/I172,0)</f>
        <v/>
      </c>
      <c r="O172" s="3">
        <f>IFERROR(H172/G172,0)</f>
        <v/>
      </c>
      <c r="P172">
        <f>IF(K172&lt;10,"Low",IF(K172&lt;=20,"Medium","High"))</f>
        <v/>
      </c>
      <c r="Q172">
        <f>IF(AND(F172&gt;=4,N172&gt;=80%),"Star Performer",IF(F172&gt;=3,"Meets Expectations","Needs Improvement"))</f>
        <v/>
      </c>
      <c r="R172">
        <f>IF(O172&gt;=90%,"High Productivity",IF(O172&gt;=60%,"Medium Productivity","Low Productivity"))</f>
        <v/>
      </c>
      <c r="S172">
        <f>ROUND((F172/5)*50+N172*25+O172*25,1)</f>
        <v/>
      </c>
    </row>
    <row r="173">
      <c r="A173" t="inlineStr">
        <is>
          <t>EMP1172</t>
        </is>
      </c>
      <c r="B173" t="inlineStr">
        <is>
          <t>Employee 172</t>
        </is>
      </c>
      <c r="C173" t="inlineStr">
        <is>
          <t>IT</t>
        </is>
      </c>
      <c r="D173" t="inlineStr">
        <is>
          <t>QA Analyst</t>
        </is>
      </c>
      <c r="E173" t="inlineStr">
        <is>
          <t>Rahul Menon</t>
        </is>
      </c>
      <c r="F173" t="n">
        <v>4</v>
      </c>
      <c r="G173" t="n">
        <v>110</v>
      </c>
      <c r="H173" t="n">
        <v>135</v>
      </c>
      <c r="I173" t="n">
        <v>215</v>
      </c>
      <c r="J173" t="n">
        <v>123</v>
      </c>
      <c r="K173" t="n">
        <v>17</v>
      </c>
      <c r="L173" t="inlineStr">
        <is>
          <t>Strong contributor</t>
        </is>
      </c>
      <c r="M173" s="2" t="n">
        <v>45901</v>
      </c>
      <c r="N173" s="3">
        <f>IFERROR(J173/I173,0)</f>
        <v/>
      </c>
      <c r="O173" s="3">
        <f>IFERROR(H173/G173,0)</f>
        <v/>
      </c>
      <c r="P173">
        <f>IF(K173&lt;10,"Low",IF(K173&lt;=20,"Medium","High"))</f>
        <v/>
      </c>
      <c r="Q173">
        <f>IF(AND(F173&gt;=4,N173&gt;=80%),"Star Performer",IF(F173&gt;=3,"Meets Expectations","Needs Improvement"))</f>
        <v/>
      </c>
      <c r="R173">
        <f>IF(O173&gt;=90%,"High Productivity",IF(O173&gt;=60%,"Medium Productivity","Low Productivity"))</f>
        <v/>
      </c>
      <c r="S173">
        <f>ROUND((F173/5)*50+N173*25+O173*25,1)</f>
        <v/>
      </c>
    </row>
    <row r="174">
      <c r="A174" t="inlineStr">
        <is>
          <t>EMP1173</t>
        </is>
      </c>
      <c r="B174" t="inlineStr">
        <is>
          <t>Employee 173</t>
        </is>
      </c>
      <c r="C174" t="inlineStr">
        <is>
          <t>Customer Support</t>
        </is>
      </c>
      <c r="D174" t="inlineStr">
        <is>
          <t>Support Analyst</t>
        </is>
      </c>
      <c r="E174" t="inlineStr">
        <is>
          <t>Arun Kumar</t>
        </is>
      </c>
      <c r="F174" t="n">
        <v>3</v>
      </c>
      <c r="G174" t="n">
        <v>64</v>
      </c>
      <c r="H174" t="n">
        <v>52</v>
      </c>
      <c r="I174" t="n">
        <v>200</v>
      </c>
      <c r="J174" t="n">
        <v>104</v>
      </c>
      <c r="K174" t="n">
        <v>7</v>
      </c>
      <c r="L174" t="inlineStr">
        <is>
          <t>Meets expectations</t>
        </is>
      </c>
      <c r="M174" s="2" t="n">
        <v>45809</v>
      </c>
      <c r="N174" s="3">
        <f>IFERROR(J174/I174,0)</f>
        <v/>
      </c>
      <c r="O174" s="3">
        <f>IFERROR(H174/G174,0)</f>
        <v/>
      </c>
      <c r="P174">
        <f>IF(K174&lt;10,"Low",IF(K174&lt;=20,"Medium","High"))</f>
        <v/>
      </c>
      <c r="Q174">
        <f>IF(AND(F174&gt;=4,N174&gt;=80%),"Star Performer",IF(F174&gt;=3,"Meets Expectations","Needs Improvement"))</f>
        <v/>
      </c>
      <c r="R174">
        <f>IF(O174&gt;=90%,"High Productivity",IF(O174&gt;=60%,"Medium Productivity","Low Productivity"))</f>
        <v/>
      </c>
      <c r="S174">
        <f>ROUND((F174/5)*50+N174*25+O174*25,1)</f>
        <v/>
      </c>
    </row>
    <row r="175">
      <c r="A175" t="inlineStr">
        <is>
          <t>EMP1174</t>
        </is>
      </c>
      <c r="B175" t="inlineStr">
        <is>
          <t>Employee 174</t>
        </is>
      </c>
      <c r="C175" t="inlineStr">
        <is>
          <t>Marketing</t>
        </is>
      </c>
      <c r="D175" t="inlineStr">
        <is>
          <t>Marketing Executive</t>
        </is>
      </c>
      <c r="E175" t="inlineStr">
        <is>
          <t>Arun Kumar</t>
        </is>
      </c>
      <c r="F175" t="n">
        <v>1</v>
      </c>
      <c r="G175" t="n">
        <v>116</v>
      </c>
      <c r="H175" t="n">
        <v>91</v>
      </c>
      <c r="I175" t="n">
        <v>165</v>
      </c>
      <c r="J175" t="n">
        <v>85</v>
      </c>
      <c r="K175" t="n">
        <v>11</v>
      </c>
      <c r="L175" t="inlineStr">
        <is>
          <t>Needs close supervision</t>
        </is>
      </c>
      <c r="M175" s="2" t="n">
        <v>45931</v>
      </c>
      <c r="N175" s="3">
        <f>IFERROR(J175/I175,0)</f>
        <v/>
      </c>
      <c r="O175" s="3">
        <f>IFERROR(H175/G175,0)</f>
        <v/>
      </c>
      <c r="P175">
        <f>IF(K175&lt;10,"Low",IF(K175&lt;=20,"Medium","High"))</f>
        <v/>
      </c>
      <c r="Q175">
        <f>IF(AND(F175&gt;=4,N175&gt;=80%),"Star Performer",IF(F175&gt;=3,"Meets Expectations","Needs Improvement"))</f>
        <v/>
      </c>
      <c r="R175">
        <f>IF(O175&gt;=90%,"High Productivity",IF(O175&gt;=60%,"Medium Productivity","Low Productivity"))</f>
        <v/>
      </c>
      <c r="S175">
        <f>ROUND((F175/5)*50+N175*25+O175*25,1)</f>
        <v/>
      </c>
    </row>
    <row r="176">
      <c r="A176" t="inlineStr">
        <is>
          <t>EMP1175</t>
        </is>
      </c>
      <c r="B176" t="inlineStr">
        <is>
          <t>Employee 175</t>
        </is>
      </c>
      <c r="C176" t="inlineStr">
        <is>
          <t>Customer Support</t>
        </is>
      </c>
      <c r="D176" t="inlineStr">
        <is>
          <t>Support Executive</t>
        </is>
      </c>
      <c r="E176" t="inlineStr">
        <is>
          <t>Karthik Rao</t>
        </is>
      </c>
      <c r="F176" t="n">
        <v>4</v>
      </c>
      <c r="G176" t="n">
        <v>100</v>
      </c>
      <c r="H176" t="n">
        <v>82</v>
      </c>
      <c r="I176" t="n">
        <v>146</v>
      </c>
      <c r="J176" t="n">
        <v>106</v>
      </c>
      <c r="K176" t="n">
        <v>23</v>
      </c>
      <c r="L176" t="inlineStr">
        <is>
          <t>Strong contributor</t>
        </is>
      </c>
      <c r="M176" s="2" t="n">
        <v>45931</v>
      </c>
      <c r="N176" s="3">
        <f>IFERROR(J176/I176,0)</f>
        <v/>
      </c>
      <c r="O176" s="3">
        <f>IFERROR(H176/G176,0)</f>
        <v/>
      </c>
      <c r="P176">
        <f>IF(K176&lt;10,"Low",IF(K176&lt;=20,"Medium","High"))</f>
        <v/>
      </c>
      <c r="Q176">
        <f>IF(AND(F176&gt;=4,N176&gt;=80%),"Star Performer",IF(F176&gt;=3,"Meets Expectations","Needs Improvement"))</f>
        <v/>
      </c>
      <c r="R176">
        <f>IF(O176&gt;=90%,"High Productivity",IF(O176&gt;=60%,"Medium Productivity","Low Productivity"))</f>
        <v/>
      </c>
      <c r="S176">
        <f>ROUND((F176/5)*50+N176*25+O176*25,1)</f>
        <v/>
      </c>
    </row>
    <row r="177">
      <c r="A177" t="inlineStr">
        <is>
          <t>EMP1176</t>
        </is>
      </c>
      <c r="B177" t="inlineStr">
        <is>
          <t>Employee 176</t>
        </is>
      </c>
      <c r="C177" t="inlineStr">
        <is>
          <t>HR</t>
        </is>
      </c>
      <c r="D177" t="inlineStr">
        <is>
          <t>HR Analyst</t>
        </is>
      </c>
      <c r="E177" t="inlineStr">
        <is>
          <t>Arun Kumar</t>
        </is>
      </c>
      <c r="F177" t="n">
        <v>4</v>
      </c>
      <c r="G177" t="n">
        <v>116</v>
      </c>
      <c r="H177" t="n">
        <v>94</v>
      </c>
      <c r="I177" t="n">
        <v>160</v>
      </c>
      <c r="J177" t="n">
        <v>122</v>
      </c>
      <c r="K177" t="n">
        <v>8</v>
      </c>
      <c r="L177" t="inlineStr">
        <is>
          <t>Strong contributor</t>
        </is>
      </c>
      <c r="M177" s="2" t="n">
        <v>45809</v>
      </c>
      <c r="N177" s="3">
        <f>IFERROR(J177/I177,0)</f>
        <v/>
      </c>
      <c r="O177" s="3">
        <f>IFERROR(H177/G177,0)</f>
        <v/>
      </c>
      <c r="P177">
        <f>IF(K177&lt;10,"Low",IF(K177&lt;=20,"Medium","High"))</f>
        <v/>
      </c>
      <c r="Q177">
        <f>IF(AND(F177&gt;=4,N177&gt;=80%),"Star Performer",IF(F177&gt;=3,"Meets Expectations","Needs Improvement"))</f>
        <v/>
      </c>
      <c r="R177">
        <f>IF(O177&gt;=90%,"High Productivity",IF(O177&gt;=60%,"Medium Productivity","Low Productivity"))</f>
        <v/>
      </c>
      <c r="S177">
        <f>ROUND((F177/5)*50+N177*25+O177*25,1)</f>
        <v/>
      </c>
    </row>
    <row r="178">
      <c r="A178" t="inlineStr">
        <is>
          <t>EMP1177</t>
        </is>
      </c>
      <c r="B178" t="inlineStr">
        <is>
          <t>Employee 177</t>
        </is>
      </c>
      <c r="C178" t="inlineStr">
        <is>
          <t>Marketing</t>
        </is>
      </c>
      <c r="D178" t="inlineStr">
        <is>
          <t>Marketing Executive</t>
        </is>
      </c>
      <c r="E178" t="inlineStr">
        <is>
          <t>Arun Kumar</t>
        </is>
      </c>
      <c r="F178" t="n">
        <v>2</v>
      </c>
      <c r="G178" t="n">
        <v>101</v>
      </c>
      <c r="H178" t="n">
        <v>75</v>
      </c>
      <c r="I178" t="n">
        <v>203</v>
      </c>
      <c r="J178" t="n">
        <v>112</v>
      </c>
      <c r="K178" t="n">
        <v>21</v>
      </c>
      <c r="L178" t="inlineStr">
        <is>
          <t>Needs additional guidance</t>
        </is>
      </c>
      <c r="M178" s="2" t="n">
        <v>45658</v>
      </c>
      <c r="N178" s="3">
        <f>IFERROR(J178/I178,0)</f>
        <v/>
      </c>
      <c r="O178" s="3">
        <f>IFERROR(H178/G178,0)</f>
        <v/>
      </c>
      <c r="P178">
        <f>IF(K178&lt;10,"Low",IF(K178&lt;=20,"Medium","High"))</f>
        <v/>
      </c>
      <c r="Q178">
        <f>IF(AND(F178&gt;=4,N178&gt;=80%),"Star Performer",IF(F178&gt;=3,"Meets Expectations","Needs Improvement"))</f>
        <v/>
      </c>
      <c r="R178">
        <f>IF(O178&gt;=90%,"High Productivity",IF(O178&gt;=60%,"Medium Productivity","Low Productivity"))</f>
        <v/>
      </c>
      <c r="S178">
        <f>ROUND((F178/5)*50+N178*25+O178*25,1)</f>
        <v/>
      </c>
    </row>
    <row r="179">
      <c r="A179" t="inlineStr">
        <is>
          <t>EMP1178</t>
        </is>
      </c>
      <c r="B179" t="inlineStr">
        <is>
          <t>Employee 178</t>
        </is>
      </c>
      <c r="C179" t="inlineStr">
        <is>
          <t>Marketing</t>
        </is>
      </c>
      <c r="D179" t="inlineStr">
        <is>
          <t>Marketing Executive</t>
        </is>
      </c>
      <c r="E179" t="inlineStr">
        <is>
          <t>Karthik Rao</t>
        </is>
      </c>
      <c r="F179" t="n">
        <v>4</v>
      </c>
      <c r="G179" t="n">
        <v>36</v>
      </c>
      <c r="H179" t="n">
        <v>34</v>
      </c>
      <c r="I179" t="n">
        <v>189</v>
      </c>
      <c r="J179" t="n">
        <v>115</v>
      </c>
      <c r="K179" t="n">
        <v>9</v>
      </c>
      <c r="L179" t="inlineStr">
        <is>
          <t>Strong contributor</t>
        </is>
      </c>
      <c r="M179" s="2" t="n">
        <v>45748</v>
      </c>
      <c r="N179" s="3">
        <f>IFERROR(J179/I179,0)</f>
        <v/>
      </c>
      <c r="O179" s="3">
        <f>IFERROR(H179/G179,0)</f>
        <v/>
      </c>
      <c r="P179">
        <f>IF(K179&lt;10,"Low",IF(K179&lt;=20,"Medium","High"))</f>
        <v/>
      </c>
      <c r="Q179">
        <f>IF(AND(F179&gt;=4,N179&gt;=80%),"Star Performer",IF(F179&gt;=3,"Meets Expectations","Needs Improvement"))</f>
        <v/>
      </c>
      <c r="R179">
        <f>IF(O179&gt;=90%,"High Productivity",IF(O179&gt;=60%,"Medium Productivity","Low Productivity"))</f>
        <v/>
      </c>
      <c r="S179">
        <f>ROUND((F179/5)*50+N179*25+O179*25,1)</f>
        <v/>
      </c>
    </row>
    <row r="180">
      <c r="A180" t="inlineStr">
        <is>
          <t>EMP1179</t>
        </is>
      </c>
      <c r="B180" t="inlineStr">
        <is>
          <t>Employee 179</t>
        </is>
      </c>
      <c r="C180" t="inlineStr">
        <is>
          <t>Customer Support</t>
        </is>
      </c>
      <c r="D180" t="inlineStr">
        <is>
          <t>Support Executive</t>
        </is>
      </c>
      <c r="E180" t="inlineStr">
        <is>
          <t>Arun Kumar</t>
        </is>
      </c>
      <c r="F180" t="n">
        <v>3</v>
      </c>
      <c r="G180" t="n">
        <v>94</v>
      </c>
      <c r="H180" t="n">
        <v>72</v>
      </c>
      <c r="I180" t="n">
        <v>151</v>
      </c>
      <c r="J180" t="n">
        <v>103</v>
      </c>
      <c r="K180" t="n">
        <v>17</v>
      </c>
      <c r="L180" t="inlineStr">
        <is>
          <t>Meets expectations</t>
        </is>
      </c>
      <c r="M180" s="2" t="n">
        <v>45931</v>
      </c>
      <c r="N180" s="3">
        <f>IFERROR(J180/I180,0)</f>
        <v/>
      </c>
      <c r="O180" s="3">
        <f>IFERROR(H180/G180,0)</f>
        <v/>
      </c>
      <c r="P180">
        <f>IF(K180&lt;10,"Low",IF(K180&lt;=20,"Medium","High"))</f>
        <v/>
      </c>
      <c r="Q180">
        <f>IF(AND(F180&gt;=4,N180&gt;=80%),"Star Performer",IF(F180&gt;=3,"Meets Expectations","Needs Improvement"))</f>
        <v/>
      </c>
      <c r="R180">
        <f>IF(O180&gt;=90%,"High Productivity",IF(O180&gt;=60%,"Medium Productivity","Low Productivity"))</f>
        <v/>
      </c>
      <c r="S180">
        <f>ROUND((F180/5)*50+N180*25+O180*25,1)</f>
        <v/>
      </c>
    </row>
    <row r="181">
      <c r="A181" t="inlineStr">
        <is>
          <t>EMP1180</t>
        </is>
      </c>
      <c r="B181" t="inlineStr">
        <is>
          <t>Employee 180</t>
        </is>
      </c>
      <c r="C181" t="inlineStr">
        <is>
          <t>IT</t>
        </is>
      </c>
      <c r="D181" t="inlineStr">
        <is>
          <t>Data Analyst</t>
        </is>
      </c>
      <c r="E181" t="inlineStr">
        <is>
          <t>Karthik Rao</t>
        </is>
      </c>
      <c r="F181" t="n">
        <v>4</v>
      </c>
      <c r="G181" t="n">
        <v>70</v>
      </c>
      <c r="H181" t="n">
        <v>62</v>
      </c>
      <c r="I181" t="n">
        <v>195</v>
      </c>
      <c r="J181" t="n">
        <v>148</v>
      </c>
      <c r="K181" t="n">
        <v>16</v>
      </c>
      <c r="L181" t="inlineStr">
        <is>
          <t>Strong contributor</t>
        </is>
      </c>
      <c r="M181" s="2" t="n">
        <v>45748</v>
      </c>
      <c r="N181" s="3">
        <f>IFERROR(J181/I181,0)</f>
        <v/>
      </c>
      <c r="O181" s="3">
        <f>IFERROR(H181/G181,0)</f>
        <v/>
      </c>
      <c r="P181">
        <f>IF(K181&lt;10,"Low",IF(K181&lt;=20,"Medium","High"))</f>
        <v/>
      </c>
      <c r="Q181">
        <f>IF(AND(F181&gt;=4,N181&gt;=80%),"Star Performer",IF(F181&gt;=3,"Meets Expectations","Needs Improvement"))</f>
        <v/>
      </c>
      <c r="R181">
        <f>IF(O181&gt;=90%,"High Productivity",IF(O181&gt;=60%,"Medium Productivity","Low Productivity"))</f>
        <v/>
      </c>
      <c r="S181">
        <f>ROUND((F181/5)*50+N181*25+O181*25,1)</f>
        <v/>
      </c>
    </row>
    <row r="182">
      <c r="A182" t="inlineStr">
        <is>
          <t>EMP1181</t>
        </is>
      </c>
      <c r="B182" t="inlineStr">
        <is>
          <t>Employee 181</t>
        </is>
      </c>
      <c r="C182" t="inlineStr">
        <is>
          <t>HR</t>
        </is>
      </c>
      <c r="D182" t="inlineStr">
        <is>
          <t>HR Executive</t>
        </is>
      </c>
      <c r="E182" t="inlineStr">
        <is>
          <t>Divya Iyer</t>
        </is>
      </c>
      <c r="F182" t="n">
        <v>5</v>
      </c>
      <c r="G182" t="n">
        <v>47</v>
      </c>
      <c r="H182" t="n">
        <v>52</v>
      </c>
      <c r="I182" t="n">
        <v>205</v>
      </c>
      <c r="J182" t="n">
        <v>122</v>
      </c>
      <c r="K182" t="n">
        <v>22</v>
      </c>
      <c r="L182" t="inlineStr">
        <is>
          <t>Exceptional performer</t>
        </is>
      </c>
      <c r="M182" s="2" t="n">
        <v>45901</v>
      </c>
      <c r="N182" s="3">
        <f>IFERROR(J182/I182,0)</f>
        <v/>
      </c>
      <c r="O182" s="3">
        <f>IFERROR(H182/G182,0)</f>
        <v/>
      </c>
      <c r="P182">
        <f>IF(K182&lt;10,"Low",IF(K182&lt;=20,"Medium","High"))</f>
        <v/>
      </c>
      <c r="Q182">
        <f>IF(AND(F182&gt;=4,N182&gt;=80%),"Star Performer",IF(F182&gt;=3,"Meets Expectations","Needs Improvement"))</f>
        <v/>
      </c>
      <c r="R182">
        <f>IF(O182&gt;=90%,"High Productivity",IF(O182&gt;=60%,"Medium Productivity","Low Productivity"))</f>
        <v/>
      </c>
      <c r="S182">
        <f>ROUND((F182/5)*50+N182*25+O182*25,1)</f>
        <v/>
      </c>
    </row>
    <row r="183">
      <c r="A183" t="inlineStr">
        <is>
          <t>EMP1182</t>
        </is>
      </c>
      <c r="B183" t="inlineStr">
        <is>
          <t>Employee 182</t>
        </is>
      </c>
      <c r="C183" t="inlineStr">
        <is>
          <t>Customer Support</t>
        </is>
      </c>
      <c r="D183" t="inlineStr">
        <is>
          <t>Customer Success Associate</t>
        </is>
      </c>
      <c r="E183" t="inlineStr">
        <is>
          <t>Arun Kumar</t>
        </is>
      </c>
      <c r="F183" t="n">
        <v>2</v>
      </c>
      <c r="G183" t="n">
        <v>64</v>
      </c>
      <c r="H183" t="n">
        <v>34</v>
      </c>
      <c r="I183" t="n">
        <v>178</v>
      </c>
      <c r="J183" t="n">
        <v>78</v>
      </c>
      <c r="K183" t="n">
        <v>29</v>
      </c>
      <c r="L183" t="inlineStr">
        <is>
          <t>Needs additional guidance</t>
        </is>
      </c>
      <c r="M183" s="2" t="n">
        <v>45748</v>
      </c>
      <c r="N183" s="3">
        <f>IFERROR(J183/I183,0)</f>
        <v/>
      </c>
      <c r="O183" s="3">
        <f>IFERROR(H183/G183,0)</f>
        <v/>
      </c>
      <c r="P183">
        <f>IF(K183&lt;10,"Low",IF(K183&lt;=20,"Medium","High"))</f>
        <v/>
      </c>
      <c r="Q183">
        <f>IF(AND(F183&gt;=4,N183&gt;=80%),"Star Performer",IF(F183&gt;=3,"Meets Expectations","Needs Improvement"))</f>
        <v/>
      </c>
      <c r="R183">
        <f>IF(O183&gt;=90%,"High Productivity",IF(O183&gt;=60%,"Medium Productivity","Low Productivity"))</f>
        <v/>
      </c>
      <c r="S183">
        <f>ROUND((F183/5)*50+N183*25+O183*25,1)</f>
        <v/>
      </c>
    </row>
    <row r="184">
      <c r="A184" t="inlineStr">
        <is>
          <t>EMP1183</t>
        </is>
      </c>
      <c r="B184" t="inlineStr">
        <is>
          <t>Employee 183</t>
        </is>
      </c>
      <c r="C184" t="inlineStr">
        <is>
          <t>HR</t>
        </is>
      </c>
      <c r="D184" t="inlineStr">
        <is>
          <t>HR Executive</t>
        </is>
      </c>
      <c r="E184" t="inlineStr">
        <is>
          <t>Divya Iyer</t>
        </is>
      </c>
      <c r="F184" t="n">
        <v>3</v>
      </c>
      <c r="G184" t="n">
        <v>93</v>
      </c>
      <c r="H184" t="n">
        <v>78</v>
      </c>
      <c r="I184" t="n">
        <v>199</v>
      </c>
      <c r="J184" t="n">
        <v>149</v>
      </c>
      <c r="K184" t="n">
        <v>22</v>
      </c>
      <c r="L184" t="inlineStr">
        <is>
          <t>Meets expectations</t>
        </is>
      </c>
      <c r="M184" s="2" t="n">
        <v>45931</v>
      </c>
      <c r="N184" s="3">
        <f>IFERROR(J184/I184,0)</f>
        <v/>
      </c>
      <c r="O184" s="3">
        <f>IFERROR(H184/G184,0)</f>
        <v/>
      </c>
      <c r="P184">
        <f>IF(K184&lt;10,"Low",IF(K184&lt;=20,"Medium","High"))</f>
        <v/>
      </c>
      <c r="Q184">
        <f>IF(AND(F184&gt;=4,N184&gt;=80%),"Star Performer",IF(F184&gt;=3,"Meets Expectations","Needs Improvement"))</f>
        <v/>
      </c>
      <c r="R184">
        <f>IF(O184&gt;=90%,"High Productivity",IF(O184&gt;=60%,"Medium Productivity","Low Productivity"))</f>
        <v/>
      </c>
      <c r="S184">
        <f>ROUND((F184/5)*50+N184*25+O184*25,1)</f>
        <v/>
      </c>
    </row>
    <row r="185">
      <c r="A185" t="inlineStr">
        <is>
          <t>EMP1184</t>
        </is>
      </c>
      <c r="B185" t="inlineStr">
        <is>
          <t>Employee 184</t>
        </is>
      </c>
      <c r="C185" t="inlineStr">
        <is>
          <t>Operations</t>
        </is>
      </c>
      <c r="D185" t="inlineStr">
        <is>
          <t>Operations Manager</t>
        </is>
      </c>
      <c r="E185" t="inlineStr">
        <is>
          <t>Meena Joseph</t>
        </is>
      </c>
      <c r="F185" t="n">
        <v>4</v>
      </c>
      <c r="G185" t="n">
        <v>84</v>
      </c>
      <c r="H185" t="n">
        <v>66</v>
      </c>
      <c r="I185" t="n">
        <v>198</v>
      </c>
      <c r="J185" t="n">
        <v>139</v>
      </c>
      <c r="K185" t="n">
        <v>28</v>
      </c>
      <c r="L185" t="inlineStr">
        <is>
          <t>Strong contributor</t>
        </is>
      </c>
      <c r="M185" s="2" t="n">
        <v>45689</v>
      </c>
      <c r="N185" s="3">
        <f>IFERROR(J185/I185,0)</f>
        <v/>
      </c>
      <c r="O185" s="3">
        <f>IFERROR(H185/G185,0)</f>
        <v/>
      </c>
      <c r="P185">
        <f>IF(K185&lt;10,"Low",IF(K185&lt;=20,"Medium","High"))</f>
        <v/>
      </c>
      <c r="Q185">
        <f>IF(AND(F185&gt;=4,N185&gt;=80%),"Star Performer",IF(F185&gt;=3,"Meets Expectations","Needs Improvement"))</f>
        <v/>
      </c>
      <c r="R185">
        <f>IF(O185&gt;=90%,"High Productivity",IF(O185&gt;=60%,"Medium Productivity","Low Productivity"))</f>
        <v/>
      </c>
      <c r="S185">
        <f>ROUND((F185/5)*50+N185*25+O185*25,1)</f>
        <v/>
      </c>
    </row>
    <row r="186">
      <c r="A186" t="inlineStr">
        <is>
          <t>EMP1185</t>
        </is>
      </c>
      <c r="B186" t="inlineStr">
        <is>
          <t>Employee 185</t>
        </is>
      </c>
      <c r="C186" t="inlineStr">
        <is>
          <t>IT</t>
        </is>
      </c>
      <c r="D186" t="inlineStr">
        <is>
          <t>Software Engineer</t>
        </is>
      </c>
      <c r="E186" t="inlineStr">
        <is>
          <t>Meena Joseph</t>
        </is>
      </c>
      <c r="F186" t="n">
        <v>4</v>
      </c>
      <c r="G186" t="n">
        <v>63</v>
      </c>
      <c r="H186" t="n">
        <v>57</v>
      </c>
      <c r="I186" t="n">
        <v>194</v>
      </c>
      <c r="J186" t="n">
        <v>181</v>
      </c>
      <c r="K186" t="n">
        <v>13</v>
      </c>
      <c r="L186" t="inlineStr">
        <is>
          <t>Strong contributor</t>
        </is>
      </c>
      <c r="M186" s="2" t="n">
        <v>45870</v>
      </c>
      <c r="N186" s="3">
        <f>IFERROR(J186/I186,0)</f>
        <v/>
      </c>
      <c r="O186" s="3">
        <f>IFERROR(H186/G186,0)</f>
        <v/>
      </c>
      <c r="P186">
        <f>IF(K186&lt;10,"Low",IF(K186&lt;=20,"Medium","High"))</f>
        <v/>
      </c>
      <c r="Q186">
        <f>IF(AND(F186&gt;=4,N186&gt;=80%),"Star Performer",IF(F186&gt;=3,"Meets Expectations","Needs Improvement"))</f>
        <v/>
      </c>
      <c r="R186">
        <f>IF(O186&gt;=90%,"High Productivity",IF(O186&gt;=60%,"Medium Productivity","Low Productivity"))</f>
        <v/>
      </c>
      <c r="S186">
        <f>ROUND((F186/5)*50+N186*25+O186*25,1)</f>
        <v/>
      </c>
    </row>
    <row r="187">
      <c r="A187" t="inlineStr">
        <is>
          <t>EMP1186</t>
        </is>
      </c>
      <c r="B187" t="inlineStr">
        <is>
          <t>Employee 186</t>
        </is>
      </c>
      <c r="C187" t="inlineStr">
        <is>
          <t>Marketing</t>
        </is>
      </c>
      <c r="D187" t="inlineStr">
        <is>
          <t>Brand Executive</t>
        </is>
      </c>
      <c r="E187" t="inlineStr">
        <is>
          <t>Karthik Rao</t>
        </is>
      </c>
      <c r="F187" t="n">
        <v>4</v>
      </c>
      <c r="G187" t="n">
        <v>117</v>
      </c>
      <c r="H187" t="n">
        <v>105</v>
      </c>
      <c r="I187" t="n">
        <v>194</v>
      </c>
      <c r="J187" t="n">
        <v>153</v>
      </c>
      <c r="K187" t="n">
        <v>29</v>
      </c>
      <c r="L187" t="inlineStr">
        <is>
          <t>Strong contributor</t>
        </is>
      </c>
      <c r="M187" s="2" t="n">
        <v>45689</v>
      </c>
      <c r="N187" s="3">
        <f>IFERROR(J187/I187,0)</f>
        <v/>
      </c>
      <c r="O187" s="3">
        <f>IFERROR(H187/G187,0)</f>
        <v/>
      </c>
      <c r="P187">
        <f>IF(K187&lt;10,"Low",IF(K187&lt;=20,"Medium","High"))</f>
        <v/>
      </c>
      <c r="Q187">
        <f>IF(AND(F187&gt;=4,N187&gt;=80%),"Star Performer",IF(F187&gt;=3,"Meets Expectations","Needs Improvement"))</f>
        <v/>
      </c>
      <c r="R187">
        <f>IF(O187&gt;=90%,"High Productivity",IF(O187&gt;=60%,"Medium Productivity","Low Productivity"))</f>
        <v/>
      </c>
      <c r="S187">
        <f>ROUND((F187/5)*50+N187*25+O187*25,1)</f>
        <v/>
      </c>
    </row>
    <row r="188">
      <c r="A188" t="inlineStr">
        <is>
          <t>EMP1187</t>
        </is>
      </c>
      <c r="B188" t="inlineStr">
        <is>
          <t>Employee 187</t>
        </is>
      </c>
      <c r="C188" t="inlineStr">
        <is>
          <t>Operations</t>
        </is>
      </c>
      <c r="D188" t="inlineStr">
        <is>
          <t>Operations Manager</t>
        </is>
      </c>
      <c r="E188" t="inlineStr">
        <is>
          <t>Arun Kumar</t>
        </is>
      </c>
      <c r="F188" t="n">
        <v>3</v>
      </c>
      <c r="G188" t="n">
        <v>47</v>
      </c>
      <c r="H188" t="n">
        <v>43</v>
      </c>
      <c r="I188" t="n">
        <v>169</v>
      </c>
      <c r="J188" t="n">
        <v>124</v>
      </c>
      <c r="K188" t="n">
        <v>20</v>
      </c>
      <c r="L188" t="inlineStr">
        <is>
          <t>Meets expectations</t>
        </is>
      </c>
      <c r="M188" s="2" t="n">
        <v>45931</v>
      </c>
      <c r="N188" s="3">
        <f>IFERROR(J188/I188,0)</f>
        <v/>
      </c>
      <c r="O188" s="3">
        <f>IFERROR(H188/G188,0)</f>
        <v/>
      </c>
      <c r="P188">
        <f>IF(K188&lt;10,"Low",IF(K188&lt;=20,"Medium","High"))</f>
        <v/>
      </c>
      <c r="Q188">
        <f>IF(AND(F188&gt;=4,N188&gt;=80%),"Star Performer",IF(F188&gt;=3,"Meets Expectations","Needs Improvement"))</f>
        <v/>
      </c>
      <c r="R188">
        <f>IF(O188&gt;=90%,"High Productivity",IF(O188&gt;=60%,"Medium Productivity","Low Productivity"))</f>
        <v/>
      </c>
      <c r="S188">
        <f>ROUND((F188/5)*50+N188*25+O188*25,1)</f>
        <v/>
      </c>
    </row>
    <row r="189">
      <c r="A189" t="inlineStr">
        <is>
          <t>EMP1188</t>
        </is>
      </c>
      <c r="B189" t="inlineStr">
        <is>
          <t>Employee 188</t>
        </is>
      </c>
      <c r="C189" t="inlineStr">
        <is>
          <t>Finance</t>
        </is>
      </c>
      <c r="D189" t="inlineStr">
        <is>
          <t>Financial Analyst</t>
        </is>
      </c>
      <c r="E189" t="inlineStr">
        <is>
          <t>Meena Joseph</t>
        </is>
      </c>
      <c r="F189" t="n">
        <v>3</v>
      </c>
      <c r="G189" t="n">
        <v>120</v>
      </c>
      <c r="H189" t="n">
        <v>120</v>
      </c>
      <c r="I189" t="n">
        <v>174</v>
      </c>
      <c r="J189" t="n">
        <v>76</v>
      </c>
      <c r="K189" t="n">
        <v>7</v>
      </c>
      <c r="L189" t="inlineStr">
        <is>
          <t>Meets expectations</t>
        </is>
      </c>
      <c r="M189" s="2" t="n">
        <v>45839</v>
      </c>
      <c r="N189" s="3">
        <f>IFERROR(J189/I189,0)</f>
        <v/>
      </c>
      <c r="O189" s="3">
        <f>IFERROR(H189/G189,0)</f>
        <v/>
      </c>
      <c r="P189">
        <f>IF(K189&lt;10,"Low",IF(K189&lt;=20,"Medium","High"))</f>
        <v/>
      </c>
      <c r="Q189">
        <f>IF(AND(F189&gt;=4,N189&gt;=80%),"Star Performer",IF(F189&gt;=3,"Meets Expectations","Needs Improvement"))</f>
        <v/>
      </c>
      <c r="R189">
        <f>IF(O189&gt;=90%,"High Productivity",IF(O189&gt;=60%,"Medium Productivity","Low Productivity"))</f>
        <v/>
      </c>
      <c r="S189">
        <f>ROUND((F189/5)*50+N189*25+O189*25,1)</f>
        <v/>
      </c>
    </row>
    <row r="190">
      <c r="A190" t="inlineStr">
        <is>
          <t>EMP1189</t>
        </is>
      </c>
      <c r="B190" t="inlineStr">
        <is>
          <t>Employee 189</t>
        </is>
      </c>
      <c r="C190" t="inlineStr">
        <is>
          <t>IT</t>
        </is>
      </c>
      <c r="D190" t="inlineStr">
        <is>
          <t>Software Engineer</t>
        </is>
      </c>
      <c r="E190" t="inlineStr">
        <is>
          <t>Karthik Rao</t>
        </is>
      </c>
      <c r="F190" t="n">
        <v>4</v>
      </c>
      <c r="G190" t="n">
        <v>90</v>
      </c>
      <c r="H190" t="n">
        <v>71</v>
      </c>
      <c r="I190" t="n">
        <v>151</v>
      </c>
      <c r="J190" t="n">
        <v>106</v>
      </c>
      <c r="K190" t="n">
        <v>25</v>
      </c>
      <c r="L190" t="inlineStr">
        <is>
          <t>Strong contributor</t>
        </is>
      </c>
      <c r="M190" s="2" t="n">
        <v>45809</v>
      </c>
      <c r="N190" s="3">
        <f>IFERROR(J190/I190,0)</f>
        <v/>
      </c>
      <c r="O190" s="3">
        <f>IFERROR(H190/G190,0)</f>
        <v/>
      </c>
      <c r="P190">
        <f>IF(K190&lt;10,"Low",IF(K190&lt;=20,"Medium","High"))</f>
        <v/>
      </c>
      <c r="Q190">
        <f>IF(AND(F190&gt;=4,N190&gt;=80%),"Star Performer",IF(F190&gt;=3,"Meets Expectations","Needs Improvement"))</f>
        <v/>
      </c>
      <c r="R190">
        <f>IF(O190&gt;=90%,"High Productivity",IF(O190&gt;=60%,"Medium Productivity","Low Productivity"))</f>
        <v/>
      </c>
      <c r="S190">
        <f>ROUND((F190/5)*50+N190*25+O190*25,1)</f>
        <v/>
      </c>
    </row>
    <row r="191">
      <c r="A191" t="inlineStr">
        <is>
          <t>EMP1190</t>
        </is>
      </c>
      <c r="B191" t="inlineStr">
        <is>
          <t>Employee 190</t>
        </is>
      </c>
      <c r="C191" t="inlineStr">
        <is>
          <t>HR</t>
        </is>
      </c>
      <c r="D191" t="inlineStr">
        <is>
          <t>HR Executive</t>
        </is>
      </c>
      <c r="E191" t="inlineStr">
        <is>
          <t>Arun Kumar</t>
        </is>
      </c>
      <c r="F191" t="n">
        <v>1</v>
      </c>
      <c r="G191" t="n">
        <v>88</v>
      </c>
      <c r="H191" t="n">
        <v>70</v>
      </c>
      <c r="I191" t="n">
        <v>173</v>
      </c>
      <c r="J191" t="n">
        <v>118</v>
      </c>
      <c r="K191" t="n">
        <v>8</v>
      </c>
      <c r="L191" t="inlineStr">
        <is>
          <t>Needs close supervision</t>
        </is>
      </c>
      <c r="M191" s="2" t="n">
        <v>45809</v>
      </c>
      <c r="N191" s="3">
        <f>IFERROR(J191/I191,0)</f>
        <v/>
      </c>
      <c r="O191" s="3">
        <f>IFERROR(H191/G191,0)</f>
        <v/>
      </c>
      <c r="P191">
        <f>IF(K191&lt;10,"Low",IF(K191&lt;=20,"Medium","High"))</f>
        <v/>
      </c>
      <c r="Q191">
        <f>IF(AND(F191&gt;=4,N191&gt;=80%),"Star Performer",IF(F191&gt;=3,"Meets Expectations","Needs Improvement"))</f>
        <v/>
      </c>
      <c r="R191">
        <f>IF(O191&gt;=90%,"High Productivity",IF(O191&gt;=60%,"Medium Productivity","Low Productivity"))</f>
        <v/>
      </c>
      <c r="S191">
        <f>ROUND((F191/5)*50+N191*25+O191*25,1)</f>
        <v/>
      </c>
    </row>
    <row r="192">
      <c r="A192" t="inlineStr">
        <is>
          <t>EMP1191</t>
        </is>
      </c>
      <c r="B192" t="inlineStr">
        <is>
          <t>Employee 191</t>
        </is>
      </c>
      <c r="C192" t="inlineStr">
        <is>
          <t>Operations</t>
        </is>
      </c>
      <c r="D192" t="inlineStr">
        <is>
          <t>Operations Manager</t>
        </is>
      </c>
      <c r="E192" t="inlineStr">
        <is>
          <t>Rahul Menon</t>
        </is>
      </c>
      <c r="F192" t="n">
        <v>3</v>
      </c>
      <c r="G192" t="n">
        <v>67</v>
      </c>
      <c r="H192" t="n">
        <v>71</v>
      </c>
      <c r="I192" t="n">
        <v>147</v>
      </c>
      <c r="J192" t="n">
        <v>128</v>
      </c>
      <c r="K192" t="n">
        <v>25</v>
      </c>
      <c r="L192" t="inlineStr">
        <is>
          <t>Meets expectations</t>
        </is>
      </c>
      <c r="M192" s="2" t="n">
        <v>45992</v>
      </c>
      <c r="N192" s="3">
        <f>IFERROR(J192/I192,0)</f>
        <v/>
      </c>
      <c r="O192" s="3">
        <f>IFERROR(H192/G192,0)</f>
        <v/>
      </c>
      <c r="P192">
        <f>IF(K192&lt;10,"Low",IF(K192&lt;=20,"Medium","High"))</f>
        <v/>
      </c>
      <c r="Q192">
        <f>IF(AND(F192&gt;=4,N192&gt;=80%),"Star Performer",IF(F192&gt;=3,"Meets Expectations","Needs Improvement"))</f>
        <v/>
      </c>
      <c r="R192">
        <f>IF(O192&gt;=90%,"High Productivity",IF(O192&gt;=60%,"Medium Productivity","Low Productivity"))</f>
        <v/>
      </c>
      <c r="S192">
        <f>ROUND((F192/5)*50+N192*25+O192*25,1)</f>
        <v/>
      </c>
    </row>
    <row r="193">
      <c r="A193" t="inlineStr">
        <is>
          <t>EMP1192</t>
        </is>
      </c>
      <c r="B193" t="inlineStr">
        <is>
          <t>Employee 192</t>
        </is>
      </c>
      <c r="C193" t="inlineStr">
        <is>
          <t>Operations</t>
        </is>
      </c>
      <c r="D193" t="inlineStr">
        <is>
          <t>Operations Executive</t>
        </is>
      </c>
      <c r="E193" t="inlineStr">
        <is>
          <t>Divya Iyer</t>
        </is>
      </c>
      <c r="F193" t="n">
        <v>4</v>
      </c>
      <c r="G193" t="n">
        <v>43</v>
      </c>
      <c r="H193" t="n">
        <v>41</v>
      </c>
      <c r="I193" t="n">
        <v>204</v>
      </c>
      <c r="J193" t="n">
        <v>134</v>
      </c>
      <c r="K193" t="n">
        <v>34</v>
      </c>
      <c r="L193" t="inlineStr">
        <is>
          <t>Strong contributor</t>
        </is>
      </c>
      <c r="M193" s="2" t="n">
        <v>45689</v>
      </c>
      <c r="N193" s="3">
        <f>IFERROR(J193/I193,0)</f>
        <v/>
      </c>
      <c r="O193" s="3">
        <f>IFERROR(H193/G193,0)</f>
        <v/>
      </c>
      <c r="P193">
        <f>IF(K193&lt;10,"Low",IF(K193&lt;=20,"Medium","High"))</f>
        <v/>
      </c>
      <c r="Q193">
        <f>IF(AND(F193&gt;=4,N193&gt;=80%),"Star Performer",IF(F193&gt;=3,"Meets Expectations","Needs Improvement"))</f>
        <v/>
      </c>
      <c r="R193">
        <f>IF(O193&gt;=90%,"High Productivity",IF(O193&gt;=60%,"Medium Productivity","Low Productivity"))</f>
        <v/>
      </c>
      <c r="S193">
        <f>ROUND((F193/5)*50+N193*25+O193*25,1)</f>
        <v/>
      </c>
    </row>
    <row r="194">
      <c r="A194" t="inlineStr">
        <is>
          <t>EMP1193</t>
        </is>
      </c>
      <c r="B194" t="inlineStr">
        <is>
          <t>Employee 193</t>
        </is>
      </c>
      <c r="C194" t="inlineStr">
        <is>
          <t>Operations</t>
        </is>
      </c>
      <c r="D194" t="inlineStr">
        <is>
          <t>Process Analyst</t>
        </is>
      </c>
      <c r="E194" t="inlineStr">
        <is>
          <t>Karthik Rao</t>
        </is>
      </c>
      <c r="F194" t="n">
        <v>3</v>
      </c>
      <c r="G194" t="n">
        <v>107</v>
      </c>
      <c r="H194" t="n">
        <v>83</v>
      </c>
      <c r="I194" t="n">
        <v>200</v>
      </c>
      <c r="J194" t="n">
        <v>130</v>
      </c>
      <c r="K194" t="n">
        <v>14</v>
      </c>
      <c r="L194" t="inlineStr">
        <is>
          <t>Meets expectations</t>
        </is>
      </c>
      <c r="M194" s="2" t="n">
        <v>45839</v>
      </c>
      <c r="N194" s="3">
        <f>IFERROR(J194/I194,0)</f>
        <v/>
      </c>
      <c r="O194" s="3">
        <f>IFERROR(H194/G194,0)</f>
        <v/>
      </c>
      <c r="P194">
        <f>IF(K194&lt;10,"Low",IF(K194&lt;=20,"Medium","High"))</f>
        <v/>
      </c>
      <c r="Q194">
        <f>IF(AND(F194&gt;=4,N194&gt;=80%),"Star Performer",IF(F194&gt;=3,"Meets Expectations","Needs Improvement"))</f>
        <v/>
      </c>
      <c r="R194">
        <f>IF(O194&gt;=90%,"High Productivity",IF(O194&gt;=60%,"Medium Productivity","Low Productivity"))</f>
        <v/>
      </c>
      <c r="S194">
        <f>ROUND((F194/5)*50+N194*25+O194*25,1)</f>
        <v/>
      </c>
    </row>
    <row r="195">
      <c r="A195" t="inlineStr">
        <is>
          <t>EMP1194</t>
        </is>
      </c>
      <c r="B195" t="inlineStr">
        <is>
          <t>Employee 194</t>
        </is>
      </c>
      <c r="C195" t="inlineStr">
        <is>
          <t>Finance</t>
        </is>
      </c>
      <c r="D195" t="inlineStr">
        <is>
          <t>Financial Analyst</t>
        </is>
      </c>
      <c r="E195" t="inlineStr">
        <is>
          <t>Rahul Menon</t>
        </is>
      </c>
      <c r="F195" t="n">
        <v>1</v>
      </c>
      <c r="G195" t="n">
        <v>87</v>
      </c>
      <c r="H195" t="n">
        <v>61</v>
      </c>
      <c r="I195" t="n">
        <v>145</v>
      </c>
      <c r="J195" t="n">
        <v>84</v>
      </c>
      <c r="K195" t="n">
        <v>19</v>
      </c>
      <c r="L195" t="inlineStr">
        <is>
          <t>Needs close supervision</t>
        </is>
      </c>
      <c r="M195" s="2" t="n">
        <v>45992</v>
      </c>
      <c r="N195" s="3">
        <f>IFERROR(J195/I195,0)</f>
        <v/>
      </c>
      <c r="O195" s="3">
        <f>IFERROR(H195/G195,0)</f>
        <v/>
      </c>
      <c r="P195">
        <f>IF(K195&lt;10,"Low",IF(K195&lt;=20,"Medium","High"))</f>
        <v/>
      </c>
      <c r="Q195">
        <f>IF(AND(F195&gt;=4,N195&gt;=80%),"Star Performer",IF(F195&gt;=3,"Meets Expectations","Needs Improvement"))</f>
        <v/>
      </c>
      <c r="R195">
        <f>IF(O195&gt;=90%,"High Productivity",IF(O195&gt;=60%,"Medium Productivity","Low Productivity"))</f>
        <v/>
      </c>
      <c r="S195">
        <f>ROUND((F195/5)*50+N195*25+O195*25,1)</f>
        <v/>
      </c>
    </row>
    <row r="196">
      <c r="A196" t="inlineStr">
        <is>
          <t>EMP1195</t>
        </is>
      </c>
      <c r="B196" t="inlineStr">
        <is>
          <t>Employee 195</t>
        </is>
      </c>
      <c r="C196" t="inlineStr">
        <is>
          <t>Customer Support</t>
        </is>
      </c>
      <c r="D196" t="inlineStr">
        <is>
          <t>Support Analyst</t>
        </is>
      </c>
      <c r="E196" t="inlineStr">
        <is>
          <t>Rahul Menon</t>
        </is>
      </c>
      <c r="F196" t="n">
        <v>5</v>
      </c>
      <c r="G196" t="n">
        <v>93</v>
      </c>
      <c r="H196" t="n">
        <v>104</v>
      </c>
      <c r="I196" t="n">
        <v>204</v>
      </c>
      <c r="J196" t="n">
        <v>164</v>
      </c>
      <c r="K196" t="n">
        <v>12</v>
      </c>
      <c r="L196" t="inlineStr">
        <is>
          <t>Exceptional performer</t>
        </is>
      </c>
      <c r="M196" s="2" t="n">
        <v>45901</v>
      </c>
      <c r="N196" s="3">
        <f>IFERROR(J196/I196,0)</f>
        <v/>
      </c>
      <c r="O196" s="3">
        <f>IFERROR(H196/G196,0)</f>
        <v/>
      </c>
      <c r="P196">
        <f>IF(K196&lt;10,"Low",IF(K196&lt;=20,"Medium","High"))</f>
        <v/>
      </c>
      <c r="Q196">
        <f>IF(AND(F196&gt;=4,N196&gt;=80%),"Star Performer",IF(F196&gt;=3,"Meets Expectations","Needs Improvement"))</f>
        <v/>
      </c>
      <c r="R196">
        <f>IF(O196&gt;=90%,"High Productivity",IF(O196&gt;=60%,"Medium Productivity","Low Productivity"))</f>
        <v/>
      </c>
      <c r="S196">
        <f>ROUND((F196/5)*50+N196*25+O196*25,1)</f>
        <v/>
      </c>
    </row>
    <row r="197">
      <c r="A197" t="inlineStr">
        <is>
          <t>EMP1196</t>
        </is>
      </c>
      <c r="B197" t="inlineStr">
        <is>
          <t>Employee 196</t>
        </is>
      </c>
      <c r="C197" t="inlineStr">
        <is>
          <t>Finance</t>
        </is>
      </c>
      <c r="D197" t="inlineStr">
        <is>
          <t>Financial Analyst</t>
        </is>
      </c>
      <c r="E197" t="inlineStr">
        <is>
          <t>Meena Joseph</t>
        </is>
      </c>
      <c r="F197" t="n">
        <v>2</v>
      </c>
      <c r="G197" t="n">
        <v>85</v>
      </c>
      <c r="H197" t="n">
        <v>59</v>
      </c>
      <c r="I197" t="n">
        <v>200</v>
      </c>
      <c r="J197" t="n">
        <v>130</v>
      </c>
      <c r="K197" t="n">
        <v>9</v>
      </c>
      <c r="L197" t="inlineStr">
        <is>
          <t>Needs additional guidance</t>
        </is>
      </c>
      <c r="M197" s="2" t="n">
        <v>45658</v>
      </c>
      <c r="N197" s="3">
        <f>IFERROR(J197/I197,0)</f>
        <v/>
      </c>
      <c r="O197" s="3">
        <f>IFERROR(H197/G197,0)</f>
        <v/>
      </c>
      <c r="P197">
        <f>IF(K197&lt;10,"Low",IF(K197&lt;=20,"Medium","High"))</f>
        <v/>
      </c>
      <c r="Q197">
        <f>IF(AND(F197&gt;=4,N197&gt;=80%),"Star Performer",IF(F197&gt;=3,"Meets Expectations","Needs Improvement"))</f>
        <v/>
      </c>
      <c r="R197">
        <f>IF(O197&gt;=90%,"High Productivity",IF(O197&gt;=60%,"Medium Productivity","Low Productivity"))</f>
        <v/>
      </c>
      <c r="S197">
        <f>ROUND((F197/5)*50+N197*25+O197*25,1)</f>
        <v/>
      </c>
    </row>
    <row r="198">
      <c r="A198" t="inlineStr">
        <is>
          <t>EMP1197</t>
        </is>
      </c>
      <c r="B198" t="inlineStr">
        <is>
          <t>Employee 197</t>
        </is>
      </c>
      <c r="C198" t="inlineStr">
        <is>
          <t>Operations</t>
        </is>
      </c>
      <c r="D198" t="inlineStr">
        <is>
          <t>Operations Manager</t>
        </is>
      </c>
      <c r="E198" t="inlineStr">
        <is>
          <t>Priya Sharma</t>
        </is>
      </c>
      <c r="F198" t="n">
        <v>4</v>
      </c>
      <c r="G198" t="n">
        <v>46</v>
      </c>
      <c r="H198" t="n">
        <v>46</v>
      </c>
      <c r="I198" t="n">
        <v>222</v>
      </c>
      <c r="J198" t="n">
        <v>124</v>
      </c>
      <c r="K198" t="n">
        <v>39</v>
      </c>
      <c r="L198" t="inlineStr">
        <is>
          <t>Strong contributor</t>
        </is>
      </c>
      <c r="M198" s="2" t="n">
        <v>45870</v>
      </c>
      <c r="N198" s="3">
        <f>IFERROR(J198/I198,0)</f>
        <v/>
      </c>
      <c r="O198" s="3">
        <f>IFERROR(H198/G198,0)</f>
        <v/>
      </c>
      <c r="P198">
        <f>IF(K198&lt;10,"Low",IF(K198&lt;=20,"Medium","High"))</f>
        <v/>
      </c>
      <c r="Q198">
        <f>IF(AND(F198&gt;=4,N198&gt;=80%),"Star Performer",IF(F198&gt;=3,"Meets Expectations","Needs Improvement"))</f>
        <v/>
      </c>
      <c r="R198">
        <f>IF(O198&gt;=90%,"High Productivity",IF(O198&gt;=60%,"Medium Productivity","Low Productivity"))</f>
        <v/>
      </c>
      <c r="S198">
        <f>ROUND((F198/5)*50+N198*25+O198*25,1)</f>
        <v/>
      </c>
    </row>
    <row r="199">
      <c r="A199" t="inlineStr">
        <is>
          <t>EMP1198</t>
        </is>
      </c>
      <c r="B199" t="inlineStr">
        <is>
          <t>Employee 198</t>
        </is>
      </c>
      <c r="C199" t="inlineStr">
        <is>
          <t>Finance</t>
        </is>
      </c>
      <c r="D199" t="inlineStr">
        <is>
          <t>Accountant</t>
        </is>
      </c>
      <c r="E199" t="inlineStr">
        <is>
          <t>Meena Joseph</t>
        </is>
      </c>
      <c r="F199" t="n">
        <v>3</v>
      </c>
      <c r="G199" t="n">
        <v>59</v>
      </c>
      <c r="H199" t="n">
        <v>43</v>
      </c>
      <c r="I199" t="n">
        <v>197</v>
      </c>
      <c r="J199" t="n">
        <v>118</v>
      </c>
      <c r="K199" t="n">
        <v>8</v>
      </c>
      <c r="L199" t="inlineStr">
        <is>
          <t>Meets expectations</t>
        </is>
      </c>
      <c r="M199" s="2" t="n">
        <v>45717</v>
      </c>
      <c r="N199" s="3">
        <f>IFERROR(J199/I199,0)</f>
        <v/>
      </c>
      <c r="O199" s="3">
        <f>IFERROR(H199/G199,0)</f>
        <v/>
      </c>
      <c r="P199">
        <f>IF(K199&lt;10,"Low",IF(K199&lt;=20,"Medium","High"))</f>
        <v/>
      </c>
      <c r="Q199">
        <f>IF(AND(F199&gt;=4,N199&gt;=80%),"Star Performer",IF(F199&gt;=3,"Meets Expectations","Needs Improvement"))</f>
        <v/>
      </c>
      <c r="R199">
        <f>IF(O199&gt;=90%,"High Productivity",IF(O199&gt;=60%,"Medium Productivity","Low Productivity"))</f>
        <v/>
      </c>
      <c r="S199">
        <f>ROUND((F199/5)*50+N199*25+O199*25,1)</f>
        <v/>
      </c>
    </row>
    <row r="200">
      <c r="A200" t="inlineStr">
        <is>
          <t>EMP1199</t>
        </is>
      </c>
      <c r="B200" t="inlineStr">
        <is>
          <t>Employee 199</t>
        </is>
      </c>
      <c r="C200" t="inlineStr">
        <is>
          <t>Sales</t>
        </is>
      </c>
      <c r="D200" t="inlineStr">
        <is>
          <t>Business Development Executive</t>
        </is>
      </c>
      <c r="E200" t="inlineStr">
        <is>
          <t>Divya Iyer</t>
        </is>
      </c>
      <c r="F200" t="n">
        <v>4</v>
      </c>
      <c r="G200" t="n">
        <v>88</v>
      </c>
      <c r="H200" t="n">
        <v>85</v>
      </c>
      <c r="I200" t="n">
        <v>147</v>
      </c>
      <c r="J200" t="n">
        <v>111</v>
      </c>
      <c r="K200" t="n">
        <v>17</v>
      </c>
      <c r="L200" t="inlineStr">
        <is>
          <t>Strong contributor</t>
        </is>
      </c>
      <c r="M200" s="2" t="n">
        <v>45962</v>
      </c>
      <c r="N200" s="3">
        <f>IFERROR(J200/I200,0)</f>
        <v/>
      </c>
      <c r="O200" s="3">
        <f>IFERROR(H200/G200,0)</f>
        <v/>
      </c>
      <c r="P200">
        <f>IF(K200&lt;10,"Low",IF(K200&lt;=20,"Medium","High"))</f>
        <v/>
      </c>
      <c r="Q200">
        <f>IF(AND(F200&gt;=4,N200&gt;=80%),"Star Performer",IF(F200&gt;=3,"Meets Expectations","Needs Improvement"))</f>
        <v/>
      </c>
      <c r="R200">
        <f>IF(O200&gt;=90%,"High Productivity",IF(O200&gt;=60%,"Medium Productivity","Low Productivity"))</f>
        <v/>
      </c>
      <c r="S200">
        <f>ROUND((F200/5)*50+N200*25+O200*25,1)</f>
        <v/>
      </c>
    </row>
    <row r="201">
      <c r="A201" t="inlineStr">
        <is>
          <t>EMP1200</t>
        </is>
      </c>
      <c r="B201" t="inlineStr">
        <is>
          <t>Employee 200</t>
        </is>
      </c>
      <c r="C201" t="inlineStr">
        <is>
          <t>IT</t>
        </is>
      </c>
      <c r="D201" t="inlineStr">
        <is>
          <t>Software Engineer</t>
        </is>
      </c>
      <c r="E201" t="inlineStr">
        <is>
          <t>Divya Iyer</t>
        </is>
      </c>
      <c r="F201" t="n">
        <v>3</v>
      </c>
      <c r="G201" t="n">
        <v>115</v>
      </c>
      <c r="H201" t="n">
        <v>75</v>
      </c>
      <c r="I201" t="n">
        <v>147</v>
      </c>
      <c r="J201" t="n">
        <v>114</v>
      </c>
      <c r="K201" t="n">
        <v>21</v>
      </c>
      <c r="L201" t="inlineStr">
        <is>
          <t>Meets expectations</t>
        </is>
      </c>
      <c r="M201" s="2" t="n">
        <v>45962</v>
      </c>
      <c r="N201" s="3">
        <f>IFERROR(J201/I201,0)</f>
        <v/>
      </c>
      <c r="O201" s="3">
        <f>IFERROR(H201/G201,0)</f>
        <v/>
      </c>
      <c r="P201">
        <f>IF(K201&lt;10,"Low",IF(K201&lt;=20,"Medium","High"))</f>
        <v/>
      </c>
      <c r="Q201">
        <f>IF(AND(F201&gt;=4,N201&gt;=80%),"Star Performer",IF(F201&gt;=3,"Meets Expectations","Needs Improvement"))</f>
        <v/>
      </c>
      <c r="R201">
        <f>IF(O201&gt;=90%,"High Productivity",IF(O201&gt;=60%,"Medium Productivity","Low Productivity"))</f>
        <v/>
      </c>
      <c r="S201">
        <f>ROUND((F201/5)*50+N201*25+O201*25,1)</f>
        <v/>
      </c>
    </row>
    <row r="202">
      <c r="A202" t="inlineStr">
        <is>
          <t>EMP1201</t>
        </is>
      </c>
      <c r="B202" t="inlineStr">
        <is>
          <t>Employee 201</t>
        </is>
      </c>
      <c r="C202" t="inlineStr">
        <is>
          <t>Sales</t>
        </is>
      </c>
      <c r="D202" t="inlineStr">
        <is>
          <t>Sales Manager</t>
        </is>
      </c>
      <c r="E202" t="inlineStr">
        <is>
          <t>Meena Joseph</t>
        </is>
      </c>
      <c r="F202" t="n">
        <v>4</v>
      </c>
      <c r="G202" t="n">
        <v>114</v>
      </c>
      <c r="H202" t="n">
        <v>101</v>
      </c>
      <c r="I202" t="n">
        <v>188</v>
      </c>
      <c r="J202" t="n">
        <v>130</v>
      </c>
      <c r="K202" t="n">
        <v>29</v>
      </c>
      <c r="L202" t="inlineStr">
        <is>
          <t>Strong contributor</t>
        </is>
      </c>
      <c r="M202" s="2" t="n">
        <v>45689</v>
      </c>
      <c r="N202" s="3">
        <f>IFERROR(J202/I202,0)</f>
        <v/>
      </c>
      <c r="O202" s="3">
        <f>IFERROR(H202/G202,0)</f>
        <v/>
      </c>
      <c r="P202">
        <f>IF(K202&lt;10,"Low",IF(K202&lt;=20,"Medium","High"))</f>
        <v/>
      </c>
      <c r="Q202">
        <f>IF(AND(F202&gt;=4,N202&gt;=80%),"Star Performer",IF(F202&gt;=3,"Meets Expectations","Needs Improvement"))</f>
        <v/>
      </c>
      <c r="R202">
        <f>IF(O202&gt;=90%,"High Productivity",IF(O202&gt;=60%,"Medium Productivity","Low Productivity"))</f>
        <v/>
      </c>
      <c r="S202">
        <f>ROUND((F202/5)*50+N202*25+O202*25,1)</f>
        <v/>
      </c>
    </row>
    <row r="203">
      <c r="A203" t="inlineStr">
        <is>
          <t>EMP1202</t>
        </is>
      </c>
      <c r="B203" t="inlineStr">
        <is>
          <t>Employee 202</t>
        </is>
      </c>
      <c r="C203" t="inlineStr">
        <is>
          <t>Sales</t>
        </is>
      </c>
      <c r="D203" t="inlineStr">
        <is>
          <t>Sales Manager</t>
        </is>
      </c>
      <c r="E203" t="inlineStr">
        <is>
          <t>Priya Sharma</t>
        </is>
      </c>
      <c r="F203" t="n">
        <v>4</v>
      </c>
      <c r="G203" t="n">
        <v>105</v>
      </c>
      <c r="H203" t="n">
        <v>77</v>
      </c>
      <c r="I203" t="n">
        <v>179</v>
      </c>
      <c r="J203" t="n">
        <v>116</v>
      </c>
      <c r="K203" t="n">
        <v>11</v>
      </c>
      <c r="L203" t="inlineStr">
        <is>
          <t>Strong contributor</t>
        </is>
      </c>
      <c r="M203" s="2" t="n">
        <v>45717</v>
      </c>
      <c r="N203" s="3">
        <f>IFERROR(J203/I203,0)</f>
        <v/>
      </c>
      <c r="O203" s="3">
        <f>IFERROR(H203/G203,0)</f>
        <v/>
      </c>
      <c r="P203">
        <f>IF(K203&lt;10,"Low",IF(K203&lt;=20,"Medium","High"))</f>
        <v/>
      </c>
      <c r="Q203">
        <f>IF(AND(F203&gt;=4,N203&gt;=80%),"Star Performer",IF(F203&gt;=3,"Meets Expectations","Needs Improvement"))</f>
        <v/>
      </c>
      <c r="R203">
        <f>IF(O203&gt;=90%,"High Productivity",IF(O203&gt;=60%,"Medium Productivity","Low Productivity"))</f>
        <v/>
      </c>
      <c r="S203">
        <f>ROUND((F203/5)*50+N203*25+O203*25,1)</f>
        <v/>
      </c>
    </row>
    <row r="204">
      <c r="A204" t="inlineStr">
        <is>
          <t>EMP1203</t>
        </is>
      </c>
      <c r="B204" t="inlineStr">
        <is>
          <t>Employee 203</t>
        </is>
      </c>
      <c r="C204" t="inlineStr">
        <is>
          <t>Sales</t>
        </is>
      </c>
      <c r="D204" t="inlineStr">
        <is>
          <t>Sales Executive</t>
        </is>
      </c>
      <c r="E204" t="inlineStr">
        <is>
          <t>Divya Iyer</t>
        </is>
      </c>
      <c r="F204" t="n">
        <v>4</v>
      </c>
      <c r="G204" t="n">
        <v>62</v>
      </c>
      <c r="H204" t="n">
        <v>49</v>
      </c>
      <c r="I204" t="n">
        <v>193</v>
      </c>
      <c r="J204" t="n">
        <v>110</v>
      </c>
      <c r="K204" t="n">
        <v>4</v>
      </c>
      <c r="L204" t="inlineStr">
        <is>
          <t>Strong contributor</t>
        </is>
      </c>
      <c r="M204" s="2" t="n">
        <v>45717</v>
      </c>
      <c r="N204" s="3">
        <f>IFERROR(J204/I204,0)</f>
        <v/>
      </c>
      <c r="O204" s="3">
        <f>IFERROR(H204/G204,0)</f>
        <v/>
      </c>
      <c r="P204">
        <f>IF(K204&lt;10,"Low",IF(K204&lt;=20,"Medium","High"))</f>
        <v/>
      </c>
      <c r="Q204">
        <f>IF(AND(F204&gt;=4,N204&gt;=80%),"Star Performer",IF(F204&gt;=3,"Meets Expectations","Needs Improvement"))</f>
        <v/>
      </c>
      <c r="R204">
        <f>IF(O204&gt;=90%,"High Productivity",IF(O204&gt;=60%,"Medium Productivity","Low Productivity"))</f>
        <v/>
      </c>
      <c r="S204">
        <f>ROUND((F204/5)*50+N204*25+O204*25,1)</f>
        <v/>
      </c>
    </row>
    <row r="205">
      <c r="A205" t="inlineStr">
        <is>
          <t>EMP1204</t>
        </is>
      </c>
      <c r="B205" t="inlineStr">
        <is>
          <t>Employee 204</t>
        </is>
      </c>
      <c r="C205" t="inlineStr">
        <is>
          <t>Finance</t>
        </is>
      </c>
      <c r="D205" t="inlineStr">
        <is>
          <t>Financial Analyst</t>
        </is>
      </c>
      <c r="E205" t="inlineStr">
        <is>
          <t>Rahul Menon</t>
        </is>
      </c>
      <c r="F205" t="n">
        <v>3</v>
      </c>
      <c r="G205" t="n">
        <v>91</v>
      </c>
      <c r="H205" t="n">
        <v>54</v>
      </c>
      <c r="I205" t="n">
        <v>175</v>
      </c>
      <c r="J205" t="n">
        <v>131</v>
      </c>
      <c r="K205" t="n">
        <v>19</v>
      </c>
      <c r="L205" t="inlineStr">
        <is>
          <t>Meets expectations</t>
        </is>
      </c>
      <c r="M205" s="2" t="n">
        <v>45658</v>
      </c>
      <c r="N205" s="3">
        <f>IFERROR(J205/I205,0)</f>
        <v/>
      </c>
      <c r="O205" s="3">
        <f>IFERROR(H205/G205,0)</f>
        <v/>
      </c>
      <c r="P205">
        <f>IF(K205&lt;10,"Low",IF(K205&lt;=20,"Medium","High"))</f>
        <v/>
      </c>
      <c r="Q205">
        <f>IF(AND(F205&gt;=4,N205&gt;=80%),"Star Performer",IF(F205&gt;=3,"Meets Expectations","Needs Improvement"))</f>
        <v/>
      </c>
      <c r="R205">
        <f>IF(O205&gt;=90%,"High Productivity",IF(O205&gt;=60%,"Medium Productivity","Low Productivity"))</f>
        <v/>
      </c>
      <c r="S205">
        <f>ROUND((F205/5)*50+N205*25+O205*25,1)</f>
        <v/>
      </c>
    </row>
    <row r="206">
      <c r="A206" t="inlineStr">
        <is>
          <t>EMP1205</t>
        </is>
      </c>
      <c r="B206" t="inlineStr">
        <is>
          <t>Employee 205</t>
        </is>
      </c>
      <c r="C206" t="inlineStr">
        <is>
          <t>HR</t>
        </is>
      </c>
      <c r="D206" t="inlineStr">
        <is>
          <t>Recruiter</t>
        </is>
      </c>
      <c r="E206" t="inlineStr">
        <is>
          <t>Divya Iyer</t>
        </is>
      </c>
      <c r="F206" t="n">
        <v>2</v>
      </c>
      <c r="G206" t="n">
        <v>76</v>
      </c>
      <c r="H206" t="n">
        <v>53</v>
      </c>
      <c r="I206" t="n">
        <v>149</v>
      </c>
      <c r="J206" t="n">
        <v>111</v>
      </c>
      <c r="K206" t="n">
        <v>9</v>
      </c>
      <c r="L206" t="inlineStr">
        <is>
          <t>Needs additional guidance</t>
        </is>
      </c>
      <c r="M206" s="2" t="n">
        <v>45809</v>
      </c>
      <c r="N206" s="3">
        <f>IFERROR(J206/I206,0)</f>
        <v/>
      </c>
      <c r="O206" s="3">
        <f>IFERROR(H206/G206,0)</f>
        <v/>
      </c>
      <c r="P206">
        <f>IF(K206&lt;10,"Low",IF(K206&lt;=20,"Medium","High"))</f>
        <v/>
      </c>
      <c r="Q206">
        <f>IF(AND(F206&gt;=4,N206&gt;=80%),"Star Performer",IF(F206&gt;=3,"Meets Expectations","Needs Improvement"))</f>
        <v/>
      </c>
      <c r="R206">
        <f>IF(O206&gt;=90%,"High Productivity",IF(O206&gt;=60%,"Medium Productivity","Low Productivity"))</f>
        <v/>
      </c>
      <c r="S206">
        <f>ROUND((F206/5)*50+N206*25+O206*25,1)</f>
        <v/>
      </c>
    </row>
    <row r="207">
      <c r="A207" t="inlineStr">
        <is>
          <t>EMP1206</t>
        </is>
      </c>
      <c r="B207" t="inlineStr">
        <is>
          <t>Employee 206</t>
        </is>
      </c>
      <c r="C207" t="inlineStr">
        <is>
          <t>HR</t>
        </is>
      </c>
      <c r="D207" t="inlineStr">
        <is>
          <t>Recruiter</t>
        </is>
      </c>
      <c r="E207" t="inlineStr">
        <is>
          <t>Rahul Menon</t>
        </is>
      </c>
      <c r="F207" t="n">
        <v>2</v>
      </c>
      <c r="G207" t="n">
        <v>67</v>
      </c>
      <c r="H207" t="n">
        <v>57</v>
      </c>
      <c r="I207" t="n">
        <v>167</v>
      </c>
      <c r="J207" t="n">
        <v>96</v>
      </c>
      <c r="K207" t="n">
        <v>13</v>
      </c>
      <c r="L207" t="inlineStr">
        <is>
          <t>Needs additional guidance</t>
        </is>
      </c>
      <c r="M207" s="2" t="n">
        <v>45962</v>
      </c>
      <c r="N207" s="3">
        <f>IFERROR(J207/I207,0)</f>
        <v/>
      </c>
      <c r="O207" s="3">
        <f>IFERROR(H207/G207,0)</f>
        <v/>
      </c>
      <c r="P207">
        <f>IF(K207&lt;10,"Low",IF(K207&lt;=20,"Medium","High"))</f>
        <v/>
      </c>
      <c r="Q207">
        <f>IF(AND(F207&gt;=4,N207&gt;=80%),"Star Performer",IF(F207&gt;=3,"Meets Expectations","Needs Improvement"))</f>
        <v/>
      </c>
      <c r="R207">
        <f>IF(O207&gt;=90%,"High Productivity",IF(O207&gt;=60%,"Medium Productivity","Low Productivity"))</f>
        <v/>
      </c>
      <c r="S207">
        <f>ROUND((F207/5)*50+N207*25+O207*25,1)</f>
        <v/>
      </c>
    </row>
    <row r="208">
      <c r="A208" t="inlineStr">
        <is>
          <t>EMP1207</t>
        </is>
      </c>
      <c r="B208" t="inlineStr">
        <is>
          <t>Employee 207</t>
        </is>
      </c>
      <c r="C208" t="inlineStr">
        <is>
          <t>Sales</t>
        </is>
      </c>
      <c r="D208" t="inlineStr">
        <is>
          <t>Sales Executive</t>
        </is>
      </c>
      <c r="E208" t="inlineStr">
        <is>
          <t>Rahul Menon</t>
        </is>
      </c>
      <c r="F208" t="n">
        <v>1</v>
      </c>
      <c r="G208" t="n">
        <v>104</v>
      </c>
      <c r="H208" t="n">
        <v>87</v>
      </c>
      <c r="I208" t="n">
        <v>229</v>
      </c>
      <c r="J208" t="n">
        <v>142</v>
      </c>
      <c r="K208" t="n">
        <v>7</v>
      </c>
      <c r="L208" t="inlineStr">
        <is>
          <t>Needs close supervision</t>
        </is>
      </c>
      <c r="M208" s="2" t="n">
        <v>45839</v>
      </c>
      <c r="N208" s="3">
        <f>IFERROR(J208/I208,0)</f>
        <v/>
      </c>
      <c r="O208" s="3">
        <f>IFERROR(H208/G208,0)</f>
        <v/>
      </c>
      <c r="P208">
        <f>IF(K208&lt;10,"Low",IF(K208&lt;=20,"Medium","High"))</f>
        <v/>
      </c>
      <c r="Q208">
        <f>IF(AND(F208&gt;=4,N208&gt;=80%),"Star Performer",IF(F208&gt;=3,"Meets Expectations","Needs Improvement"))</f>
        <v/>
      </c>
      <c r="R208">
        <f>IF(O208&gt;=90%,"High Productivity",IF(O208&gt;=60%,"Medium Productivity","Low Productivity"))</f>
        <v/>
      </c>
      <c r="S208">
        <f>ROUND((F208/5)*50+N208*25+O208*25,1)</f>
        <v/>
      </c>
    </row>
    <row r="209">
      <c r="A209" t="inlineStr">
        <is>
          <t>EMP1208</t>
        </is>
      </c>
      <c r="B209" t="inlineStr">
        <is>
          <t>Employee 208</t>
        </is>
      </c>
      <c r="C209" t="inlineStr">
        <is>
          <t>Marketing</t>
        </is>
      </c>
      <c r="D209" t="inlineStr">
        <is>
          <t>Marketing Executive</t>
        </is>
      </c>
      <c r="E209" t="inlineStr">
        <is>
          <t>Meena Joseph</t>
        </is>
      </c>
      <c r="F209" t="n">
        <v>4</v>
      </c>
      <c r="G209" t="n">
        <v>77</v>
      </c>
      <c r="H209" t="n">
        <v>70</v>
      </c>
      <c r="I209" t="n">
        <v>226</v>
      </c>
      <c r="J209" t="n">
        <v>209</v>
      </c>
      <c r="K209" t="n">
        <v>18</v>
      </c>
      <c r="L209" t="inlineStr">
        <is>
          <t>Strong contributor</t>
        </is>
      </c>
      <c r="M209" s="2" t="n">
        <v>45658</v>
      </c>
      <c r="N209" s="3">
        <f>IFERROR(J209/I209,0)</f>
        <v/>
      </c>
      <c r="O209" s="3">
        <f>IFERROR(H209/G209,0)</f>
        <v/>
      </c>
      <c r="P209">
        <f>IF(K209&lt;10,"Low",IF(K209&lt;=20,"Medium","High"))</f>
        <v/>
      </c>
      <c r="Q209">
        <f>IF(AND(F209&gt;=4,N209&gt;=80%),"Star Performer",IF(F209&gt;=3,"Meets Expectations","Needs Improvement"))</f>
        <v/>
      </c>
      <c r="R209">
        <f>IF(O209&gt;=90%,"High Productivity",IF(O209&gt;=60%,"Medium Productivity","Low Productivity"))</f>
        <v/>
      </c>
      <c r="S209">
        <f>ROUND((F209/5)*50+N209*25+O209*25,1)</f>
        <v/>
      </c>
    </row>
    <row r="210">
      <c r="A210" t="inlineStr">
        <is>
          <t>EMP1209</t>
        </is>
      </c>
      <c r="B210" t="inlineStr">
        <is>
          <t>Employee 209</t>
        </is>
      </c>
      <c r="C210" t="inlineStr">
        <is>
          <t>Sales</t>
        </is>
      </c>
      <c r="D210" t="inlineStr">
        <is>
          <t>Sales Executive</t>
        </is>
      </c>
      <c r="E210" t="inlineStr">
        <is>
          <t>Priya Sharma</t>
        </is>
      </c>
      <c r="F210" t="n">
        <v>4</v>
      </c>
      <c r="G210" t="n">
        <v>71</v>
      </c>
      <c r="H210" t="n">
        <v>83</v>
      </c>
      <c r="I210" t="n">
        <v>197</v>
      </c>
      <c r="J210" t="n">
        <v>107</v>
      </c>
      <c r="K210" t="n">
        <v>17</v>
      </c>
      <c r="L210" t="inlineStr">
        <is>
          <t>Strong contributor</t>
        </is>
      </c>
      <c r="M210" s="2" t="n">
        <v>45748</v>
      </c>
      <c r="N210" s="3">
        <f>IFERROR(J210/I210,0)</f>
        <v/>
      </c>
      <c r="O210" s="3">
        <f>IFERROR(H210/G210,0)</f>
        <v/>
      </c>
      <c r="P210">
        <f>IF(K210&lt;10,"Low",IF(K210&lt;=20,"Medium","High"))</f>
        <v/>
      </c>
      <c r="Q210">
        <f>IF(AND(F210&gt;=4,N210&gt;=80%),"Star Performer",IF(F210&gt;=3,"Meets Expectations","Needs Improvement"))</f>
        <v/>
      </c>
      <c r="R210">
        <f>IF(O210&gt;=90%,"High Productivity",IF(O210&gt;=60%,"Medium Productivity","Low Productivity"))</f>
        <v/>
      </c>
      <c r="S210">
        <f>ROUND((F210/5)*50+N210*25+O210*25,1)</f>
        <v/>
      </c>
    </row>
    <row r="211">
      <c r="A211" t="inlineStr">
        <is>
          <t>EMP1210</t>
        </is>
      </c>
      <c r="B211" t="inlineStr">
        <is>
          <t>Employee 210</t>
        </is>
      </c>
      <c r="C211" t="inlineStr">
        <is>
          <t>IT</t>
        </is>
      </c>
      <c r="D211" t="inlineStr">
        <is>
          <t>QA Analyst</t>
        </is>
      </c>
      <c r="E211" t="inlineStr">
        <is>
          <t>Arun Kumar</t>
        </is>
      </c>
      <c r="F211" t="n">
        <v>3</v>
      </c>
      <c r="G211" t="n">
        <v>101</v>
      </c>
      <c r="H211" t="n">
        <v>82</v>
      </c>
      <c r="I211" t="n">
        <v>184</v>
      </c>
      <c r="J211" t="n">
        <v>111</v>
      </c>
      <c r="K211" t="n">
        <v>12</v>
      </c>
      <c r="L211" t="inlineStr">
        <is>
          <t>Meets expectations</t>
        </is>
      </c>
      <c r="M211" s="2" t="n">
        <v>45748</v>
      </c>
      <c r="N211" s="3">
        <f>IFERROR(J211/I211,0)</f>
        <v/>
      </c>
      <c r="O211" s="3">
        <f>IFERROR(H211/G211,0)</f>
        <v/>
      </c>
      <c r="P211">
        <f>IF(K211&lt;10,"Low",IF(K211&lt;=20,"Medium","High"))</f>
        <v/>
      </c>
      <c r="Q211">
        <f>IF(AND(F211&gt;=4,N211&gt;=80%),"Star Performer",IF(F211&gt;=3,"Meets Expectations","Needs Improvement"))</f>
        <v/>
      </c>
      <c r="R211">
        <f>IF(O211&gt;=90%,"High Productivity",IF(O211&gt;=60%,"Medium Productivity","Low Productivity"))</f>
        <v/>
      </c>
      <c r="S211">
        <f>ROUND((F211/5)*50+N211*25+O211*25,1)</f>
        <v/>
      </c>
    </row>
    <row r="212">
      <c r="A212" t="inlineStr">
        <is>
          <t>EMP1211</t>
        </is>
      </c>
      <c r="B212" t="inlineStr">
        <is>
          <t>Employee 211</t>
        </is>
      </c>
      <c r="C212" t="inlineStr">
        <is>
          <t>Finance</t>
        </is>
      </c>
      <c r="D212" t="inlineStr">
        <is>
          <t>Financial Analyst</t>
        </is>
      </c>
      <c r="E212" t="inlineStr">
        <is>
          <t>Priya Sharma</t>
        </is>
      </c>
      <c r="F212" t="n">
        <v>3</v>
      </c>
      <c r="G212" t="n">
        <v>93</v>
      </c>
      <c r="H212" t="n">
        <v>93</v>
      </c>
      <c r="I212" t="n">
        <v>211</v>
      </c>
      <c r="J212" t="n">
        <v>151</v>
      </c>
      <c r="K212" t="n">
        <v>23</v>
      </c>
      <c r="L212" t="inlineStr">
        <is>
          <t>Meets expectations</t>
        </is>
      </c>
      <c r="M212" s="2" t="n">
        <v>45901</v>
      </c>
      <c r="N212" s="3">
        <f>IFERROR(J212/I212,0)</f>
        <v/>
      </c>
      <c r="O212" s="3">
        <f>IFERROR(H212/G212,0)</f>
        <v/>
      </c>
      <c r="P212">
        <f>IF(K212&lt;10,"Low",IF(K212&lt;=20,"Medium","High"))</f>
        <v/>
      </c>
      <c r="Q212">
        <f>IF(AND(F212&gt;=4,N212&gt;=80%),"Star Performer",IF(F212&gt;=3,"Meets Expectations","Needs Improvement"))</f>
        <v/>
      </c>
      <c r="R212">
        <f>IF(O212&gt;=90%,"High Productivity",IF(O212&gt;=60%,"Medium Productivity","Low Productivity"))</f>
        <v/>
      </c>
      <c r="S212">
        <f>ROUND((F212/5)*50+N212*25+O212*25,1)</f>
        <v/>
      </c>
    </row>
    <row r="213">
      <c r="A213" t="inlineStr">
        <is>
          <t>EMP1212</t>
        </is>
      </c>
      <c r="B213" t="inlineStr">
        <is>
          <t>Employee 212</t>
        </is>
      </c>
      <c r="C213" t="inlineStr">
        <is>
          <t>Customer Support</t>
        </is>
      </c>
      <c r="D213" t="inlineStr">
        <is>
          <t>Support Analyst</t>
        </is>
      </c>
      <c r="E213" t="inlineStr">
        <is>
          <t>Arun Kumar</t>
        </is>
      </c>
      <c r="F213" t="n">
        <v>2</v>
      </c>
      <c r="G213" t="n">
        <v>91</v>
      </c>
      <c r="H213" t="n">
        <v>68</v>
      </c>
      <c r="I213" t="n">
        <v>146</v>
      </c>
      <c r="J213" t="n">
        <v>85</v>
      </c>
      <c r="K213" t="n">
        <v>9</v>
      </c>
      <c r="L213" t="inlineStr">
        <is>
          <t>Needs additional guidance</t>
        </is>
      </c>
      <c r="M213" s="2" t="n">
        <v>45658</v>
      </c>
      <c r="N213" s="3">
        <f>IFERROR(J213/I213,0)</f>
        <v/>
      </c>
      <c r="O213" s="3">
        <f>IFERROR(H213/G213,0)</f>
        <v/>
      </c>
      <c r="P213">
        <f>IF(K213&lt;10,"Low",IF(K213&lt;=20,"Medium","High"))</f>
        <v/>
      </c>
      <c r="Q213">
        <f>IF(AND(F213&gt;=4,N213&gt;=80%),"Star Performer",IF(F213&gt;=3,"Meets Expectations","Needs Improvement"))</f>
        <v/>
      </c>
      <c r="R213">
        <f>IF(O213&gt;=90%,"High Productivity",IF(O213&gt;=60%,"Medium Productivity","Low Productivity"))</f>
        <v/>
      </c>
      <c r="S213">
        <f>ROUND((F213/5)*50+N213*25+O213*25,1)</f>
        <v/>
      </c>
    </row>
    <row r="214">
      <c r="A214" t="inlineStr">
        <is>
          <t>EMP1213</t>
        </is>
      </c>
      <c r="B214" t="inlineStr">
        <is>
          <t>Employee 213</t>
        </is>
      </c>
      <c r="C214" t="inlineStr">
        <is>
          <t>Marketing</t>
        </is>
      </c>
      <c r="D214" t="inlineStr">
        <is>
          <t>Digital Marketing Analyst</t>
        </is>
      </c>
      <c r="E214" t="inlineStr">
        <is>
          <t>Arun Kumar</t>
        </is>
      </c>
      <c r="F214" t="n">
        <v>5</v>
      </c>
      <c r="G214" t="n">
        <v>85</v>
      </c>
      <c r="H214" t="n">
        <v>102</v>
      </c>
      <c r="I214" t="n">
        <v>190</v>
      </c>
      <c r="J214" t="n">
        <v>168</v>
      </c>
      <c r="K214" t="n">
        <v>25</v>
      </c>
      <c r="L214" t="inlineStr">
        <is>
          <t>Exceptional performer</t>
        </is>
      </c>
      <c r="M214" s="2" t="n">
        <v>45658</v>
      </c>
      <c r="N214" s="3">
        <f>IFERROR(J214/I214,0)</f>
        <v/>
      </c>
      <c r="O214" s="3">
        <f>IFERROR(H214/G214,0)</f>
        <v/>
      </c>
      <c r="P214">
        <f>IF(K214&lt;10,"Low",IF(K214&lt;=20,"Medium","High"))</f>
        <v/>
      </c>
      <c r="Q214">
        <f>IF(AND(F214&gt;=4,N214&gt;=80%),"Star Performer",IF(F214&gt;=3,"Meets Expectations","Needs Improvement"))</f>
        <v/>
      </c>
      <c r="R214">
        <f>IF(O214&gt;=90%,"High Productivity",IF(O214&gt;=60%,"Medium Productivity","Low Productivity"))</f>
        <v/>
      </c>
      <c r="S214">
        <f>ROUND((F214/5)*50+N214*25+O214*25,1)</f>
        <v/>
      </c>
    </row>
    <row r="215">
      <c r="A215" t="inlineStr">
        <is>
          <t>EMP1214</t>
        </is>
      </c>
      <c r="B215" t="inlineStr">
        <is>
          <t>Employee 214</t>
        </is>
      </c>
      <c r="C215" t="inlineStr">
        <is>
          <t>Operations</t>
        </is>
      </c>
      <c r="D215" t="inlineStr">
        <is>
          <t>Process Analyst</t>
        </is>
      </c>
      <c r="E215" t="inlineStr">
        <is>
          <t>Meena Joseph</t>
        </is>
      </c>
      <c r="F215" t="n">
        <v>3</v>
      </c>
      <c r="G215" t="n">
        <v>120</v>
      </c>
      <c r="H215" t="n">
        <v>105</v>
      </c>
      <c r="I215" t="n">
        <v>195</v>
      </c>
      <c r="J215" t="n">
        <v>137</v>
      </c>
      <c r="K215" t="n">
        <v>18</v>
      </c>
      <c r="L215" t="inlineStr">
        <is>
          <t>Meets expectations</t>
        </is>
      </c>
      <c r="M215" s="2" t="n">
        <v>45839</v>
      </c>
      <c r="N215" s="3">
        <f>IFERROR(J215/I215,0)</f>
        <v/>
      </c>
      <c r="O215" s="3">
        <f>IFERROR(H215/G215,0)</f>
        <v/>
      </c>
      <c r="P215">
        <f>IF(K215&lt;10,"Low",IF(K215&lt;=20,"Medium","High"))</f>
        <v/>
      </c>
      <c r="Q215">
        <f>IF(AND(F215&gt;=4,N215&gt;=80%),"Star Performer",IF(F215&gt;=3,"Meets Expectations","Needs Improvement"))</f>
        <v/>
      </c>
      <c r="R215">
        <f>IF(O215&gt;=90%,"High Productivity",IF(O215&gt;=60%,"Medium Productivity","Low Productivity"))</f>
        <v/>
      </c>
      <c r="S215">
        <f>ROUND((F215/5)*50+N215*25+O215*25,1)</f>
        <v/>
      </c>
    </row>
    <row r="216">
      <c r="A216" t="inlineStr">
        <is>
          <t>EMP1215</t>
        </is>
      </c>
      <c r="B216" t="inlineStr">
        <is>
          <t>Employee 215</t>
        </is>
      </c>
      <c r="C216" t="inlineStr">
        <is>
          <t>HR</t>
        </is>
      </c>
      <c r="D216" t="inlineStr">
        <is>
          <t>HR Analyst</t>
        </is>
      </c>
      <c r="E216" t="inlineStr">
        <is>
          <t>Priya Sharma</t>
        </is>
      </c>
      <c r="F216" t="n">
        <v>4</v>
      </c>
      <c r="G216" t="n">
        <v>114</v>
      </c>
      <c r="H216" t="n">
        <v>112</v>
      </c>
      <c r="I216" t="n">
        <v>152</v>
      </c>
      <c r="J216" t="n">
        <v>113</v>
      </c>
      <c r="K216" t="n">
        <v>14</v>
      </c>
      <c r="L216" t="inlineStr">
        <is>
          <t>Strong contributor</t>
        </is>
      </c>
      <c r="M216" s="2" t="n">
        <v>45778</v>
      </c>
      <c r="N216" s="3">
        <f>IFERROR(J216/I216,0)</f>
        <v/>
      </c>
      <c r="O216" s="3">
        <f>IFERROR(H216/G216,0)</f>
        <v/>
      </c>
      <c r="P216">
        <f>IF(K216&lt;10,"Low",IF(K216&lt;=20,"Medium","High"))</f>
        <v/>
      </c>
      <c r="Q216">
        <f>IF(AND(F216&gt;=4,N216&gt;=80%),"Star Performer",IF(F216&gt;=3,"Meets Expectations","Needs Improvement"))</f>
        <v/>
      </c>
      <c r="R216">
        <f>IF(O216&gt;=90%,"High Productivity",IF(O216&gt;=60%,"Medium Productivity","Low Productivity"))</f>
        <v/>
      </c>
      <c r="S216">
        <f>ROUND((F216/5)*50+N216*25+O216*25,1)</f>
        <v/>
      </c>
    </row>
    <row r="217">
      <c r="A217" t="inlineStr">
        <is>
          <t>EMP1216</t>
        </is>
      </c>
      <c r="B217" t="inlineStr">
        <is>
          <t>Employee 216</t>
        </is>
      </c>
      <c r="C217" t="inlineStr">
        <is>
          <t>IT</t>
        </is>
      </c>
      <c r="D217" t="inlineStr">
        <is>
          <t>Data Analyst</t>
        </is>
      </c>
      <c r="E217" t="inlineStr">
        <is>
          <t>Divya Iyer</t>
        </is>
      </c>
      <c r="F217" t="n">
        <v>4</v>
      </c>
      <c r="G217" t="n">
        <v>40</v>
      </c>
      <c r="H217" t="n">
        <v>38</v>
      </c>
      <c r="I217" t="n">
        <v>226</v>
      </c>
      <c r="J217" t="n">
        <v>173</v>
      </c>
      <c r="K217" t="n">
        <v>33</v>
      </c>
      <c r="L217" t="inlineStr">
        <is>
          <t>Strong contributor</t>
        </is>
      </c>
      <c r="M217" s="2" t="n">
        <v>45748</v>
      </c>
      <c r="N217" s="3">
        <f>IFERROR(J217/I217,0)</f>
        <v/>
      </c>
      <c r="O217" s="3">
        <f>IFERROR(H217/G217,0)</f>
        <v/>
      </c>
      <c r="P217">
        <f>IF(K217&lt;10,"Low",IF(K217&lt;=20,"Medium","High"))</f>
        <v/>
      </c>
      <c r="Q217">
        <f>IF(AND(F217&gt;=4,N217&gt;=80%),"Star Performer",IF(F217&gt;=3,"Meets Expectations","Needs Improvement"))</f>
        <v/>
      </c>
      <c r="R217">
        <f>IF(O217&gt;=90%,"High Productivity",IF(O217&gt;=60%,"Medium Productivity","Low Productivity"))</f>
        <v/>
      </c>
      <c r="S217">
        <f>ROUND((F217/5)*50+N217*25+O217*25,1)</f>
        <v/>
      </c>
    </row>
    <row r="218">
      <c r="A218" t="inlineStr">
        <is>
          <t>EMP1217</t>
        </is>
      </c>
      <c r="B218" t="inlineStr">
        <is>
          <t>Employee 217</t>
        </is>
      </c>
      <c r="C218" t="inlineStr">
        <is>
          <t>Customer Support</t>
        </is>
      </c>
      <c r="D218" t="inlineStr">
        <is>
          <t>Customer Success Associate</t>
        </is>
      </c>
      <c r="E218" t="inlineStr">
        <is>
          <t>Arun Kumar</t>
        </is>
      </c>
      <c r="F218" t="n">
        <v>4</v>
      </c>
      <c r="G218" t="n">
        <v>75</v>
      </c>
      <c r="H218" t="n">
        <v>87</v>
      </c>
      <c r="I218" t="n">
        <v>220</v>
      </c>
      <c r="J218" t="n">
        <v>168</v>
      </c>
      <c r="K218" t="n">
        <v>26</v>
      </c>
      <c r="L218" t="inlineStr">
        <is>
          <t>Strong contributor</t>
        </is>
      </c>
      <c r="M218" s="2" t="n">
        <v>45901</v>
      </c>
      <c r="N218" s="3">
        <f>IFERROR(J218/I218,0)</f>
        <v/>
      </c>
      <c r="O218" s="3">
        <f>IFERROR(H218/G218,0)</f>
        <v/>
      </c>
      <c r="P218">
        <f>IF(K218&lt;10,"Low",IF(K218&lt;=20,"Medium","High"))</f>
        <v/>
      </c>
      <c r="Q218">
        <f>IF(AND(F218&gt;=4,N218&gt;=80%),"Star Performer",IF(F218&gt;=3,"Meets Expectations","Needs Improvement"))</f>
        <v/>
      </c>
      <c r="R218">
        <f>IF(O218&gt;=90%,"High Productivity",IF(O218&gt;=60%,"Medium Productivity","Low Productivity"))</f>
        <v/>
      </c>
      <c r="S218">
        <f>ROUND((F218/5)*50+N218*25+O218*25,1)</f>
        <v/>
      </c>
    </row>
    <row r="219">
      <c r="A219" t="inlineStr">
        <is>
          <t>EMP1218</t>
        </is>
      </c>
      <c r="B219" t="inlineStr">
        <is>
          <t>Employee 218</t>
        </is>
      </c>
      <c r="C219" t="inlineStr">
        <is>
          <t>HR</t>
        </is>
      </c>
      <c r="D219" t="inlineStr">
        <is>
          <t>Recruiter</t>
        </is>
      </c>
      <c r="E219" t="inlineStr">
        <is>
          <t>Arun Kumar</t>
        </is>
      </c>
      <c r="F219" t="n">
        <v>5</v>
      </c>
      <c r="G219" t="n">
        <v>40</v>
      </c>
      <c r="H219" t="n">
        <v>35</v>
      </c>
      <c r="I219" t="n">
        <v>193</v>
      </c>
      <c r="J219" t="n">
        <v>127</v>
      </c>
      <c r="K219" t="n">
        <v>24</v>
      </c>
      <c r="L219" t="inlineStr">
        <is>
          <t>Exceptional performer</t>
        </is>
      </c>
      <c r="M219" s="2" t="n">
        <v>45870</v>
      </c>
      <c r="N219" s="3">
        <f>IFERROR(J219/I219,0)</f>
        <v/>
      </c>
      <c r="O219" s="3">
        <f>IFERROR(H219/G219,0)</f>
        <v/>
      </c>
      <c r="P219">
        <f>IF(K219&lt;10,"Low",IF(K219&lt;=20,"Medium","High"))</f>
        <v/>
      </c>
      <c r="Q219">
        <f>IF(AND(F219&gt;=4,N219&gt;=80%),"Star Performer",IF(F219&gt;=3,"Meets Expectations","Needs Improvement"))</f>
        <v/>
      </c>
      <c r="R219">
        <f>IF(O219&gt;=90%,"High Productivity",IF(O219&gt;=60%,"Medium Productivity","Low Productivity"))</f>
        <v/>
      </c>
      <c r="S219">
        <f>ROUND((F219/5)*50+N219*25+O219*25,1)</f>
        <v/>
      </c>
    </row>
    <row r="220">
      <c r="A220" t="inlineStr">
        <is>
          <t>EMP1219</t>
        </is>
      </c>
      <c r="B220" t="inlineStr">
        <is>
          <t>Employee 219</t>
        </is>
      </c>
      <c r="C220" t="inlineStr">
        <is>
          <t>IT</t>
        </is>
      </c>
      <c r="D220" t="inlineStr">
        <is>
          <t>Software Engineer</t>
        </is>
      </c>
      <c r="E220" t="inlineStr">
        <is>
          <t>Rahul Menon</t>
        </is>
      </c>
      <c r="F220" t="n">
        <v>3</v>
      </c>
      <c r="G220" t="n">
        <v>64</v>
      </c>
      <c r="H220" t="n">
        <v>58</v>
      </c>
      <c r="I220" t="n">
        <v>201</v>
      </c>
      <c r="J220" t="n">
        <v>160</v>
      </c>
      <c r="K220" t="n">
        <v>19</v>
      </c>
      <c r="L220" t="inlineStr">
        <is>
          <t>Meets expectations</t>
        </is>
      </c>
      <c r="M220" s="2" t="n">
        <v>45870</v>
      </c>
      <c r="N220" s="3">
        <f>IFERROR(J220/I220,0)</f>
        <v/>
      </c>
      <c r="O220" s="3">
        <f>IFERROR(H220/G220,0)</f>
        <v/>
      </c>
      <c r="P220">
        <f>IF(K220&lt;10,"Low",IF(K220&lt;=20,"Medium","High"))</f>
        <v/>
      </c>
      <c r="Q220">
        <f>IF(AND(F220&gt;=4,N220&gt;=80%),"Star Performer",IF(F220&gt;=3,"Meets Expectations","Needs Improvement"))</f>
        <v/>
      </c>
      <c r="R220">
        <f>IF(O220&gt;=90%,"High Productivity",IF(O220&gt;=60%,"Medium Productivity","Low Productivity"))</f>
        <v/>
      </c>
      <c r="S220">
        <f>ROUND((F220/5)*50+N220*25+O220*25,1)</f>
        <v/>
      </c>
    </row>
    <row r="221">
      <c r="A221" t="inlineStr">
        <is>
          <t>EMP1220</t>
        </is>
      </c>
      <c r="B221" t="inlineStr">
        <is>
          <t>Employee 220</t>
        </is>
      </c>
      <c r="C221" t="inlineStr">
        <is>
          <t>Finance</t>
        </is>
      </c>
      <c r="D221" t="inlineStr">
        <is>
          <t>Accountant</t>
        </is>
      </c>
      <c r="E221" t="inlineStr">
        <is>
          <t>Karthik Rao</t>
        </is>
      </c>
      <c r="F221" t="n">
        <v>4</v>
      </c>
      <c r="G221" t="n">
        <v>107</v>
      </c>
      <c r="H221" t="n">
        <v>73</v>
      </c>
      <c r="I221" t="n">
        <v>146</v>
      </c>
      <c r="J221" t="n">
        <v>114</v>
      </c>
      <c r="K221" t="n">
        <v>34</v>
      </c>
      <c r="L221" t="inlineStr">
        <is>
          <t>Strong contributor</t>
        </is>
      </c>
      <c r="M221" s="2" t="n">
        <v>45931</v>
      </c>
      <c r="N221" s="3">
        <f>IFERROR(J221/I221,0)</f>
        <v/>
      </c>
      <c r="O221" s="3">
        <f>IFERROR(H221/G221,0)</f>
        <v/>
      </c>
      <c r="P221">
        <f>IF(K221&lt;10,"Low",IF(K221&lt;=20,"Medium","High"))</f>
        <v/>
      </c>
      <c r="Q221">
        <f>IF(AND(F221&gt;=4,N221&gt;=80%),"Star Performer",IF(F221&gt;=3,"Meets Expectations","Needs Improvement"))</f>
        <v/>
      </c>
      <c r="R221">
        <f>IF(O221&gt;=90%,"High Productivity",IF(O221&gt;=60%,"Medium Productivity","Low Productivity"))</f>
        <v/>
      </c>
      <c r="S221">
        <f>ROUND((F221/5)*50+N221*25+O221*25,1)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EMPLOYEE PERFORMANCE &amp; PRODUCTIVITY DASHBOARD</t>
        </is>
      </c>
    </row>
    <row r="2">
      <c r="A2" t="inlineStr">
        <is>
          <t>Sample dataset: 220 employees | HR Analytics</t>
        </is>
      </c>
    </row>
    <row r="4">
      <c r="A4" s="1" t="inlineStr">
        <is>
          <t>Total Employees</t>
        </is>
      </c>
      <c r="C4" s="1" t="inlineStr">
        <is>
          <t>Avg Performance Rating</t>
        </is>
      </c>
      <c r="E4" s="1" t="inlineStr">
        <is>
          <t>High Performer %</t>
        </is>
      </c>
      <c r="G4" s="1" t="inlineStr">
        <is>
          <t>Avg Utilization %</t>
        </is>
      </c>
      <c r="I4" s="1" t="inlineStr">
        <is>
          <t>Avg Target Achievement %</t>
        </is>
      </c>
    </row>
    <row r="5">
      <c r="A5" s="5">
        <f>COUNTA('Employee Performance'!A2:A221)</f>
        <v/>
      </c>
      <c r="C5" s="5">
        <f>AVERAGE('Employee Performance'!F2:F221)</f>
        <v/>
      </c>
      <c r="E5" s="5">
        <f>COUNTIF('Employee Performance'!Q2:Q221,"Star Performer")/COUNTA('Employee Performance'!A2:A221)</f>
        <v/>
      </c>
      <c r="F5" s="3" t="n"/>
      <c r="G5" s="5">
        <f>AVERAGE('Employee Performance'!N2:N221)</f>
        <v/>
      </c>
      <c r="H5" s="3" t="n"/>
      <c r="I5" s="5">
        <f>AVERAGE('Employee Performance'!O2:O221)</f>
        <v/>
      </c>
      <c r="J5" s="3" t="n"/>
    </row>
    <row r="7">
      <c r="A7" s="1" t="inlineStr">
        <is>
          <t>Avg Training Hours</t>
        </is>
      </c>
      <c r="C7" s="1" t="inlineStr">
        <is>
          <t>High Productivity %</t>
        </is>
      </c>
      <c r="E7" s="1" t="inlineStr">
        <is>
          <t>Star Performers</t>
        </is>
      </c>
      <c r="G7" s="1" t="inlineStr">
        <is>
          <t>Avg Hours Worked</t>
        </is>
      </c>
      <c r="I7" s="1" t="inlineStr">
        <is>
          <t>Avg Billable Hours</t>
        </is>
      </c>
    </row>
    <row r="8">
      <c r="A8" s="5">
        <f>AVERAGE('Employee Performance'!K2:K221)</f>
        <v/>
      </c>
      <c r="C8" s="5">
        <f>COUNTIF('Employee Performance'!R2:R221,"High Productivity")/COUNTA('Employee Performance'!A2:A221)</f>
        <v/>
      </c>
      <c r="D8" s="3" t="n"/>
      <c r="E8" s="5">
        <f>COUNTIF('Employee Performance'!Q2:Q221,"Star Performer")</f>
        <v/>
      </c>
      <c r="G8" s="5">
        <f>AVERAGE('Employee Performance'!I2:I221)</f>
        <v/>
      </c>
      <c r="I8" s="5">
        <f>AVERAGE('Employee Performance'!J2:J221)</f>
        <v/>
      </c>
    </row>
    <row r="11">
      <c r="A11" s="6" t="inlineStr">
        <is>
          <t>Department</t>
        </is>
      </c>
      <c r="C11" s="6" t="inlineStr">
        <is>
          <t>Role</t>
        </is>
      </c>
      <c r="E11" s="6" t="inlineStr">
        <is>
          <t>Manager</t>
        </is>
      </c>
      <c r="G11" s="6" t="inlineStr">
        <is>
          <t>Training Category</t>
        </is>
      </c>
    </row>
    <row r="12">
      <c r="A12" t="inlineStr">
        <is>
          <t>○ All</t>
        </is>
      </c>
      <c r="C12" t="inlineStr">
        <is>
          <t>○ All</t>
        </is>
      </c>
      <c r="E12" t="inlineStr">
        <is>
          <t>○ All</t>
        </is>
      </c>
      <c r="G12" t="inlineStr">
        <is>
          <t>○ All</t>
        </is>
      </c>
    </row>
    <row r="13">
      <c r="A13" t="inlineStr">
        <is>
          <t>○ IT</t>
        </is>
      </c>
      <c r="C13" t="inlineStr">
        <is>
          <t>○ Accountant</t>
        </is>
      </c>
      <c r="E13" t="inlineStr">
        <is>
          <t>○ Arun Kumar</t>
        </is>
      </c>
      <c r="G13" t="inlineStr">
        <is>
          <t>○ Low</t>
        </is>
      </c>
    </row>
    <row r="14">
      <c r="A14" t="inlineStr">
        <is>
          <t>○ Finance</t>
        </is>
      </c>
      <c r="C14" t="inlineStr">
        <is>
          <t>○ Brand Executive</t>
        </is>
      </c>
      <c r="E14" t="inlineStr">
        <is>
          <t>○ Priya Sharma</t>
        </is>
      </c>
      <c r="G14" t="inlineStr">
        <is>
          <t>○ Medium</t>
        </is>
      </c>
    </row>
    <row r="15">
      <c r="A15" t="inlineStr">
        <is>
          <t>○ HR</t>
        </is>
      </c>
      <c r="C15" t="inlineStr">
        <is>
          <t>○ Business Development Executive</t>
        </is>
      </c>
      <c r="E15" t="inlineStr">
        <is>
          <t>○ Rahul Menon</t>
        </is>
      </c>
      <c r="G15" t="inlineStr">
        <is>
          <t>○ High</t>
        </is>
      </c>
    </row>
    <row r="16">
      <c r="A16" t="inlineStr">
        <is>
          <t>○ Sales</t>
        </is>
      </c>
      <c r="C16" t="inlineStr">
        <is>
          <t>○ Customer Success Associate</t>
        </is>
      </c>
      <c r="E16" t="inlineStr">
        <is>
          <t>○ Divya Iyer</t>
        </is>
      </c>
    </row>
    <row r="17">
      <c r="A17" t="inlineStr">
        <is>
          <t>○ Marketing</t>
        </is>
      </c>
      <c r="C17" t="inlineStr">
        <is>
          <t>○ Data Analyst</t>
        </is>
      </c>
      <c r="E17" t="inlineStr">
        <is>
          <t>○ Karthik Rao</t>
        </is>
      </c>
    </row>
    <row r="18">
      <c r="A18" t="inlineStr">
        <is>
          <t>○ Operations</t>
        </is>
      </c>
      <c r="C18" t="inlineStr">
        <is>
          <t>○ Digital Marketing Analyst</t>
        </is>
      </c>
      <c r="E18" t="inlineStr">
        <is>
          <t>○ Meena Joseph</t>
        </is>
      </c>
    </row>
    <row r="19">
      <c r="A19" t="inlineStr">
        <is>
          <t>○ Customer Support</t>
        </is>
      </c>
      <c r="C19" t="inlineStr">
        <is>
          <t>○ Finance Executive</t>
        </is>
      </c>
    </row>
    <row r="21">
      <c r="A21" s="7" t="inlineStr">
        <is>
          <t>Department</t>
        </is>
      </c>
      <c r="B21" s="7" t="inlineStr">
        <is>
          <t>Employees</t>
        </is>
      </c>
      <c r="C21" s="7" t="inlineStr">
        <is>
          <t>Avg Rating</t>
        </is>
      </c>
      <c r="D21" s="7" t="inlineStr">
        <is>
          <t>Avg Utilization %</t>
        </is>
      </c>
      <c r="E21" s="7" t="inlineStr">
        <is>
          <t>Avg Target Achievement %</t>
        </is>
      </c>
      <c r="G21" s="7" t="inlineStr">
        <is>
          <t>Training Category</t>
        </is>
      </c>
      <c r="H21" s="7" t="inlineStr">
        <is>
          <t>Employees</t>
        </is>
      </c>
    </row>
    <row r="22">
      <c r="A22" t="inlineStr">
        <is>
          <t>IT</t>
        </is>
      </c>
      <c r="B22">
        <f>COUNTIF('Employee Performance'!C$2:C$221,A22)</f>
        <v/>
      </c>
      <c r="C22" s="8">
        <f>AVERAGEIF('Employee Performance'!C$2:C$221,A22,'Employee Performance'!F$2:F$221)</f>
        <v/>
      </c>
      <c r="D22" s="3">
        <f>AVERAGEIF('Employee Performance'!C$2:C$221,A22,'Employee Performance'!N$2:N$221)</f>
        <v/>
      </c>
      <c r="E22" s="3">
        <f>AVERAGEIF('Employee Performance'!C$2:C$221,A22,'Employee Performance'!O$2:O$221)</f>
        <v/>
      </c>
      <c r="G22" t="inlineStr">
        <is>
          <t>Low</t>
        </is>
      </c>
      <c r="H22">
        <f>COUNTIF('Employee Performance'!P$2:P$221,G22)</f>
        <v/>
      </c>
    </row>
    <row r="23">
      <c r="A23" t="inlineStr">
        <is>
          <t>Finance</t>
        </is>
      </c>
      <c r="B23">
        <f>COUNTIF('Employee Performance'!C$2:C$221,A23)</f>
        <v/>
      </c>
      <c r="C23" s="8">
        <f>AVERAGEIF('Employee Performance'!C$2:C$221,A23,'Employee Performance'!F$2:F$221)</f>
        <v/>
      </c>
      <c r="D23" s="3">
        <f>AVERAGEIF('Employee Performance'!C$2:C$221,A23,'Employee Performance'!N$2:N$221)</f>
        <v/>
      </c>
      <c r="E23" s="3">
        <f>AVERAGEIF('Employee Performance'!C$2:C$221,A23,'Employee Performance'!O$2:O$221)</f>
        <v/>
      </c>
      <c r="G23" t="inlineStr">
        <is>
          <t>Medium</t>
        </is>
      </c>
      <c r="H23">
        <f>COUNTIF('Employee Performance'!P$2:P$221,G23)</f>
        <v/>
      </c>
    </row>
    <row r="24">
      <c r="A24" t="inlineStr">
        <is>
          <t>HR</t>
        </is>
      </c>
      <c r="B24">
        <f>COUNTIF('Employee Performance'!C$2:C$221,A24)</f>
        <v/>
      </c>
      <c r="C24" s="8">
        <f>AVERAGEIF('Employee Performance'!C$2:C$221,A24,'Employee Performance'!F$2:F$221)</f>
        <v/>
      </c>
      <c r="D24" s="3">
        <f>AVERAGEIF('Employee Performance'!C$2:C$221,A24,'Employee Performance'!N$2:N$221)</f>
        <v/>
      </c>
      <c r="E24" s="3">
        <f>AVERAGEIF('Employee Performance'!C$2:C$221,A24,'Employee Performance'!O$2:O$221)</f>
        <v/>
      </c>
      <c r="G24" t="inlineStr">
        <is>
          <t>High</t>
        </is>
      </c>
      <c r="H24">
        <f>COUNTIF('Employee Performance'!P$2:P$221,G24)</f>
        <v/>
      </c>
    </row>
    <row r="25">
      <c r="A25" t="inlineStr">
        <is>
          <t>Sales</t>
        </is>
      </c>
      <c r="B25">
        <f>COUNTIF('Employee Performance'!C$2:C$221,A25)</f>
        <v/>
      </c>
      <c r="C25" s="8">
        <f>AVERAGEIF('Employee Performance'!C$2:C$221,A25,'Employee Performance'!F$2:F$221)</f>
        <v/>
      </c>
      <c r="D25" s="3">
        <f>AVERAGEIF('Employee Performance'!C$2:C$221,A25,'Employee Performance'!N$2:N$221)</f>
        <v/>
      </c>
      <c r="E25" s="3">
        <f>AVERAGEIF('Employee Performance'!C$2:C$221,A25,'Employee Performance'!O$2:O$221)</f>
        <v/>
      </c>
    </row>
    <row r="26">
      <c r="A26" t="inlineStr">
        <is>
          <t>Marketing</t>
        </is>
      </c>
      <c r="B26">
        <f>COUNTIF('Employee Performance'!C$2:C$221,A26)</f>
        <v/>
      </c>
      <c r="C26" s="8">
        <f>AVERAGEIF('Employee Performance'!C$2:C$221,A26,'Employee Performance'!F$2:F$221)</f>
        <v/>
      </c>
      <c r="D26" s="3">
        <f>AVERAGEIF('Employee Performance'!C$2:C$221,A26,'Employee Performance'!N$2:N$221)</f>
        <v/>
      </c>
      <c r="E26" s="3">
        <f>AVERAGEIF('Employee Performance'!C$2:C$221,A26,'Employee Performance'!O$2:O$221)</f>
        <v/>
      </c>
    </row>
    <row r="27">
      <c r="A27" t="inlineStr">
        <is>
          <t>Operations</t>
        </is>
      </c>
      <c r="B27">
        <f>COUNTIF('Employee Performance'!C$2:C$221,A27)</f>
        <v/>
      </c>
      <c r="C27" s="8">
        <f>AVERAGEIF('Employee Performance'!C$2:C$221,A27,'Employee Performance'!F$2:F$221)</f>
        <v/>
      </c>
      <c r="D27" s="3">
        <f>AVERAGEIF('Employee Performance'!C$2:C$221,A27,'Employee Performance'!N$2:N$221)</f>
        <v/>
      </c>
      <c r="E27" s="3">
        <f>AVERAGEIF('Employee Performance'!C$2:C$221,A27,'Employee Performance'!O$2:O$221)</f>
        <v/>
      </c>
      <c r="G27" s="7" t="inlineStr">
        <is>
          <t>Productivity Category</t>
        </is>
      </c>
      <c r="H27" s="7" t="inlineStr">
        <is>
          <t>Employees</t>
        </is>
      </c>
    </row>
    <row r="28">
      <c r="A28" t="inlineStr">
        <is>
          <t>Customer Support</t>
        </is>
      </c>
      <c r="B28">
        <f>COUNTIF('Employee Performance'!C$2:C$221,A28)</f>
        <v/>
      </c>
      <c r="C28" s="8">
        <f>AVERAGEIF('Employee Performance'!C$2:C$221,A28,'Employee Performance'!F$2:F$221)</f>
        <v/>
      </c>
      <c r="D28" s="3">
        <f>AVERAGEIF('Employee Performance'!C$2:C$221,A28,'Employee Performance'!N$2:N$221)</f>
        <v/>
      </c>
      <c r="E28" s="3">
        <f>AVERAGEIF('Employee Performance'!C$2:C$221,A28,'Employee Performance'!O$2:O$221)</f>
        <v/>
      </c>
      <c r="G28" t="inlineStr">
        <is>
          <t>High Productivity</t>
        </is>
      </c>
      <c r="H28">
        <f>COUNTIF('Employee Performance'!R$2:R$221,G28)</f>
        <v/>
      </c>
    </row>
    <row r="29">
      <c r="G29" t="inlineStr">
        <is>
          <t>Medium Productivity</t>
        </is>
      </c>
      <c r="H29">
        <f>COUNTIF('Employee Performance'!R$2:R$221,G29)</f>
        <v/>
      </c>
    </row>
    <row r="30">
      <c r="G30" t="inlineStr">
        <is>
          <t>Low Productivity</t>
        </is>
      </c>
      <c r="H30">
        <f>COUNTIF('Employee Performance'!R$2:R$221,G30)</f>
        <v/>
      </c>
    </row>
    <row r="35">
      <c r="G35" s="7" t="inlineStr">
        <is>
          <t>Month</t>
        </is>
      </c>
      <c r="H35" s="7" t="inlineStr">
        <is>
          <t>Avg Utilization %</t>
        </is>
      </c>
    </row>
    <row r="36">
      <c r="G36" s="2" t="n">
        <v>45658</v>
      </c>
      <c r="H36" s="3">
        <f>AVERAGEIF('Employee Performance'!M$2:M$221,G36,'Employee Performance'!N$2:N$221)</f>
        <v/>
      </c>
    </row>
    <row r="37">
      <c r="G37" s="2" t="n">
        <v>45689</v>
      </c>
      <c r="H37" s="3">
        <f>AVERAGEIF('Employee Performance'!M$2:M$221,G37,'Employee Performance'!N$2:N$221)</f>
        <v/>
      </c>
    </row>
    <row r="38">
      <c r="G38" s="2" t="n">
        <v>45717</v>
      </c>
      <c r="H38" s="3">
        <f>AVERAGEIF('Employee Performance'!M$2:M$221,G38,'Employee Performance'!N$2:N$221)</f>
        <v/>
      </c>
    </row>
    <row r="39">
      <c r="G39" s="2" t="n">
        <v>45748</v>
      </c>
      <c r="H39" s="3">
        <f>AVERAGEIF('Employee Performance'!M$2:M$221,G39,'Employee Performance'!N$2:N$221)</f>
        <v/>
      </c>
    </row>
    <row r="40">
      <c r="G40" s="2" t="n">
        <v>45778</v>
      </c>
      <c r="H40" s="3">
        <f>AVERAGEIF('Employee Performance'!M$2:M$221,G40,'Employee Performance'!N$2:N$221)</f>
        <v/>
      </c>
    </row>
    <row r="41">
      <c r="G41" s="2" t="n">
        <v>45809</v>
      </c>
      <c r="H41" s="3">
        <f>AVERAGEIF('Employee Performance'!M$2:M$221,G41,'Employee Performance'!N$2:N$221)</f>
        <v/>
      </c>
    </row>
    <row r="42">
      <c r="G42" s="2" t="n">
        <v>45839</v>
      </c>
      <c r="H42" s="3">
        <f>AVERAGEIF('Employee Performance'!M$2:M$221,G42,'Employee Performance'!N$2:N$221)</f>
        <v/>
      </c>
    </row>
    <row r="43">
      <c r="G43" s="2" t="n">
        <v>45870</v>
      </c>
      <c r="H43" s="3">
        <f>AVERAGEIF('Employee Performance'!M$2:M$221,G43,'Employee Performance'!N$2:N$221)</f>
        <v/>
      </c>
    </row>
    <row r="44">
      <c r="G44" s="2" t="n">
        <v>45901</v>
      </c>
      <c r="H44" s="3">
        <f>AVERAGEIF('Employee Performance'!M$2:M$221,G44,'Employee Performance'!N$2:N$221)</f>
        <v/>
      </c>
    </row>
    <row r="45">
      <c r="G45" s="2" t="n">
        <v>45931</v>
      </c>
      <c r="H45" s="3">
        <f>AVERAGEIF('Employee Performance'!M$2:M$221,G45,'Employee Performance'!N$2:N$221)</f>
        <v/>
      </c>
    </row>
    <row r="46">
      <c r="G46" s="2" t="n">
        <v>45962</v>
      </c>
      <c r="H46" s="3">
        <f>AVERAGEIF('Employee Performance'!M$2:M$221,G46,'Employee Performance'!N$2:N$221)</f>
        <v/>
      </c>
    </row>
    <row r="47">
      <c r="G47" s="2" t="n">
        <v>45992</v>
      </c>
      <c r="H47" s="3">
        <f>AVERAGEIF('Employee Performance'!M$2:M$221,G47,'Employee Performance'!N$2:N$221)</f>
        <v/>
      </c>
    </row>
  </sheetData>
  <mergeCells count="53">
    <mergeCell ref="E12:F12"/>
    <mergeCell ref="G12:H12"/>
    <mergeCell ref="A15:B15"/>
    <mergeCell ref="C15:D15"/>
    <mergeCell ref="A11:B11"/>
    <mergeCell ref="G11:H11"/>
    <mergeCell ref="C5:D5"/>
    <mergeCell ref="E5:F5"/>
    <mergeCell ref="C14:D14"/>
    <mergeCell ref="E14:F14"/>
    <mergeCell ref="G8:H8"/>
    <mergeCell ref="E17:F17"/>
    <mergeCell ref="C18:D18"/>
    <mergeCell ref="E8:F8"/>
    <mergeCell ref="C4:D4"/>
    <mergeCell ref="E4:F4"/>
    <mergeCell ref="A16:B16"/>
    <mergeCell ref="A7:B7"/>
    <mergeCell ref="G7:H7"/>
    <mergeCell ref="C16:D16"/>
    <mergeCell ref="I7:J7"/>
    <mergeCell ref="E13:F13"/>
    <mergeCell ref="G13:H13"/>
    <mergeCell ref="A18:B18"/>
    <mergeCell ref="A12:B12"/>
    <mergeCell ref="A1:J1"/>
    <mergeCell ref="C12:D12"/>
    <mergeCell ref="E15:F15"/>
    <mergeCell ref="C11:D11"/>
    <mergeCell ref="G15:H15"/>
    <mergeCell ref="E11:F11"/>
    <mergeCell ref="A5:B5"/>
    <mergeCell ref="G5:H5"/>
    <mergeCell ref="I5:J5"/>
    <mergeCell ref="A14:B14"/>
    <mergeCell ref="G14:H14"/>
    <mergeCell ref="I8:J8"/>
    <mergeCell ref="A17:B17"/>
    <mergeCell ref="A8:B8"/>
    <mergeCell ref="C17:D17"/>
    <mergeCell ref="C8:D8"/>
    <mergeCell ref="A4:B4"/>
    <mergeCell ref="G4:H4"/>
    <mergeCell ref="I4:J4"/>
    <mergeCell ref="C7:D7"/>
    <mergeCell ref="E16:F16"/>
    <mergeCell ref="E7:F7"/>
    <mergeCell ref="A19:B19"/>
    <mergeCell ref="C19:D19"/>
    <mergeCell ref="A13:B13"/>
    <mergeCell ref="C13:D13"/>
    <mergeCell ref="A2:J2"/>
    <mergeCell ref="E18:F1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8" customWidth="1" min="4" max="4"/>
    <col width="30" customWidth="1" min="5" max="5"/>
    <col width="20" customWidth="1" min="6" max="6"/>
    <col width="16" customWidth="1" min="7" max="7"/>
    <col width="22" customWidth="1" min="8" max="8"/>
    <col width="16" customWidth="1" min="9" max="9"/>
    <col width="20" customWidth="1" min="10" max="10"/>
  </cols>
  <sheetData>
    <row r="1">
      <c r="A1" s="7" t="inlineStr">
        <is>
          <t>Rank</t>
        </is>
      </c>
      <c r="B1" s="7" t="inlineStr">
        <is>
          <t>Employee_ID</t>
        </is>
      </c>
      <c r="C1" s="7" t="inlineStr">
        <is>
          <t>Name</t>
        </is>
      </c>
      <c r="D1" s="7" t="inlineStr">
        <is>
          <t>Department</t>
        </is>
      </c>
      <c r="E1" s="7" t="inlineStr">
        <is>
          <t>Role</t>
        </is>
      </c>
      <c r="F1" s="7" t="inlineStr">
        <is>
          <t>Performance Rating</t>
        </is>
      </c>
      <c r="G1" s="7" t="inlineStr">
        <is>
          <t>Utilization %</t>
        </is>
      </c>
      <c r="H1" s="7" t="inlineStr">
        <is>
          <t>Target Achievement %</t>
        </is>
      </c>
      <c r="I1" s="7" t="inlineStr">
        <is>
          <t>Training Hours</t>
        </is>
      </c>
      <c r="J1" s="7" t="inlineStr">
        <is>
          <t>Productivity Score</t>
        </is>
      </c>
    </row>
    <row r="2">
      <c r="A2" t="n">
        <v>1</v>
      </c>
      <c r="B2">
        <f>INDEX('Employee Performance'!$A$2:$A$221,MATCH(J2,'Employee Performance'!$S$2:$S$221,0))</f>
        <v/>
      </c>
      <c r="C2">
        <f>INDEX('Employee Performance'!$B$2:$B$221,MATCH(J2,'Employee Performance'!$S$2:$S$221,0))</f>
        <v/>
      </c>
      <c r="D2">
        <f>INDEX('Employee Performance'!$C$2:$C$221,MATCH(J2,'Employee Performance'!$S$2:$S$221,0))</f>
        <v/>
      </c>
      <c r="E2">
        <f>INDEX('Employee Performance'!$D$2:$D$221,MATCH(J2,'Employee Performance'!$S$2:$S$221,0))</f>
        <v/>
      </c>
      <c r="F2">
        <f>INDEX('Employee Performance'!$F$2:$F$221,MATCH(J2,'Employee Performance'!$S$2:$S$221,0))</f>
        <v/>
      </c>
      <c r="G2" s="3">
        <f>INDEX('Employee Performance'!$N$2:$N$221,MATCH(J2,'Employee Performance'!$S$2:$S$221,0))</f>
        <v/>
      </c>
      <c r="H2" s="3">
        <f>INDEX('Employee Performance'!$O$2:$O$221,MATCH(J2,'Employee Performance'!$S$2:$S$221,0))</f>
        <v/>
      </c>
      <c r="I2">
        <f>INDEX('Employee Performance'!$K$2:$K$221,MATCH(J2,'Employee Performance'!$S$2:$S$221,0))</f>
        <v/>
      </c>
      <c r="J2">
        <f>LARGE('Employee Performance'!$S$2:$S$221,A2)</f>
        <v/>
      </c>
    </row>
    <row r="3">
      <c r="A3" t="n">
        <v>2</v>
      </c>
      <c r="B3">
        <f>INDEX('Employee Performance'!$A$2:$A$221,MATCH(J3,'Employee Performance'!$S$2:$S$221,0))</f>
        <v/>
      </c>
      <c r="C3">
        <f>INDEX('Employee Performance'!$B$2:$B$221,MATCH(J3,'Employee Performance'!$S$2:$S$221,0))</f>
        <v/>
      </c>
      <c r="D3">
        <f>INDEX('Employee Performance'!$C$2:$C$221,MATCH(J3,'Employee Performance'!$S$2:$S$221,0))</f>
        <v/>
      </c>
      <c r="E3">
        <f>INDEX('Employee Performance'!$D$2:$D$221,MATCH(J3,'Employee Performance'!$S$2:$S$221,0))</f>
        <v/>
      </c>
      <c r="F3">
        <f>INDEX('Employee Performance'!$F$2:$F$221,MATCH(J3,'Employee Performance'!$S$2:$S$221,0))</f>
        <v/>
      </c>
      <c r="G3" s="3">
        <f>INDEX('Employee Performance'!$N$2:$N$221,MATCH(J3,'Employee Performance'!$S$2:$S$221,0))</f>
        <v/>
      </c>
      <c r="H3" s="3">
        <f>INDEX('Employee Performance'!$O$2:$O$221,MATCH(J3,'Employee Performance'!$S$2:$S$221,0))</f>
        <v/>
      </c>
      <c r="I3">
        <f>INDEX('Employee Performance'!$K$2:$K$221,MATCH(J3,'Employee Performance'!$S$2:$S$221,0))</f>
        <v/>
      </c>
      <c r="J3">
        <f>LARGE('Employee Performance'!$S$2:$S$221,A3)</f>
        <v/>
      </c>
    </row>
    <row r="4">
      <c r="A4" t="n">
        <v>3</v>
      </c>
      <c r="B4">
        <f>INDEX('Employee Performance'!$A$2:$A$221,MATCH(J4,'Employee Performance'!$S$2:$S$221,0))</f>
        <v/>
      </c>
      <c r="C4">
        <f>INDEX('Employee Performance'!$B$2:$B$221,MATCH(J4,'Employee Performance'!$S$2:$S$221,0))</f>
        <v/>
      </c>
      <c r="D4">
        <f>INDEX('Employee Performance'!$C$2:$C$221,MATCH(J4,'Employee Performance'!$S$2:$S$221,0))</f>
        <v/>
      </c>
      <c r="E4">
        <f>INDEX('Employee Performance'!$D$2:$D$221,MATCH(J4,'Employee Performance'!$S$2:$S$221,0))</f>
        <v/>
      </c>
      <c r="F4">
        <f>INDEX('Employee Performance'!$F$2:$F$221,MATCH(J4,'Employee Performance'!$S$2:$S$221,0))</f>
        <v/>
      </c>
      <c r="G4" s="3">
        <f>INDEX('Employee Performance'!$N$2:$N$221,MATCH(J4,'Employee Performance'!$S$2:$S$221,0))</f>
        <v/>
      </c>
      <c r="H4" s="3">
        <f>INDEX('Employee Performance'!$O$2:$O$221,MATCH(J4,'Employee Performance'!$S$2:$S$221,0))</f>
        <v/>
      </c>
      <c r="I4">
        <f>INDEX('Employee Performance'!$K$2:$K$221,MATCH(J4,'Employee Performance'!$S$2:$S$221,0))</f>
        <v/>
      </c>
      <c r="J4">
        <f>LARGE('Employee Performance'!$S$2:$S$221,A4)</f>
        <v/>
      </c>
    </row>
    <row r="5">
      <c r="A5" t="n">
        <v>4</v>
      </c>
      <c r="B5">
        <f>INDEX('Employee Performance'!$A$2:$A$221,MATCH(J5,'Employee Performance'!$S$2:$S$221,0))</f>
        <v/>
      </c>
      <c r="C5">
        <f>INDEX('Employee Performance'!$B$2:$B$221,MATCH(J5,'Employee Performance'!$S$2:$S$221,0))</f>
        <v/>
      </c>
      <c r="D5">
        <f>INDEX('Employee Performance'!$C$2:$C$221,MATCH(J5,'Employee Performance'!$S$2:$S$221,0))</f>
        <v/>
      </c>
      <c r="E5">
        <f>INDEX('Employee Performance'!$D$2:$D$221,MATCH(J5,'Employee Performance'!$S$2:$S$221,0))</f>
        <v/>
      </c>
      <c r="F5">
        <f>INDEX('Employee Performance'!$F$2:$F$221,MATCH(J5,'Employee Performance'!$S$2:$S$221,0))</f>
        <v/>
      </c>
      <c r="G5" s="3">
        <f>INDEX('Employee Performance'!$N$2:$N$221,MATCH(J5,'Employee Performance'!$S$2:$S$221,0))</f>
        <v/>
      </c>
      <c r="H5" s="3">
        <f>INDEX('Employee Performance'!$O$2:$O$221,MATCH(J5,'Employee Performance'!$S$2:$S$221,0))</f>
        <v/>
      </c>
      <c r="I5">
        <f>INDEX('Employee Performance'!$K$2:$K$221,MATCH(J5,'Employee Performance'!$S$2:$S$221,0))</f>
        <v/>
      </c>
      <c r="J5">
        <f>LARGE('Employee Performance'!$S$2:$S$221,A5)</f>
        <v/>
      </c>
    </row>
    <row r="6">
      <c r="A6" t="n">
        <v>5</v>
      </c>
      <c r="B6">
        <f>INDEX('Employee Performance'!$A$2:$A$221,MATCH(J6,'Employee Performance'!$S$2:$S$221,0))</f>
        <v/>
      </c>
      <c r="C6">
        <f>INDEX('Employee Performance'!$B$2:$B$221,MATCH(J6,'Employee Performance'!$S$2:$S$221,0))</f>
        <v/>
      </c>
      <c r="D6">
        <f>INDEX('Employee Performance'!$C$2:$C$221,MATCH(J6,'Employee Performance'!$S$2:$S$221,0))</f>
        <v/>
      </c>
      <c r="E6">
        <f>INDEX('Employee Performance'!$D$2:$D$221,MATCH(J6,'Employee Performance'!$S$2:$S$221,0))</f>
        <v/>
      </c>
      <c r="F6">
        <f>INDEX('Employee Performance'!$F$2:$F$221,MATCH(J6,'Employee Performance'!$S$2:$S$221,0))</f>
        <v/>
      </c>
      <c r="G6" s="3">
        <f>INDEX('Employee Performance'!$N$2:$N$221,MATCH(J6,'Employee Performance'!$S$2:$S$221,0))</f>
        <v/>
      </c>
      <c r="H6" s="3">
        <f>INDEX('Employee Performance'!$O$2:$O$221,MATCH(J6,'Employee Performance'!$S$2:$S$221,0))</f>
        <v/>
      </c>
      <c r="I6">
        <f>INDEX('Employee Performance'!$K$2:$K$221,MATCH(J6,'Employee Performance'!$S$2:$S$221,0))</f>
        <v/>
      </c>
      <c r="J6">
        <f>LARGE('Employee Performance'!$S$2:$S$221,A6)</f>
        <v/>
      </c>
    </row>
    <row r="7">
      <c r="A7" t="n">
        <v>6</v>
      </c>
      <c r="B7">
        <f>INDEX('Employee Performance'!$A$2:$A$221,MATCH(J7,'Employee Performance'!$S$2:$S$221,0))</f>
        <v/>
      </c>
      <c r="C7">
        <f>INDEX('Employee Performance'!$B$2:$B$221,MATCH(J7,'Employee Performance'!$S$2:$S$221,0))</f>
        <v/>
      </c>
      <c r="D7">
        <f>INDEX('Employee Performance'!$C$2:$C$221,MATCH(J7,'Employee Performance'!$S$2:$S$221,0))</f>
        <v/>
      </c>
      <c r="E7">
        <f>INDEX('Employee Performance'!$D$2:$D$221,MATCH(J7,'Employee Performance'!$S$2:$S$221,0))</f>
        <v/>
      </c>
      <c r="F7">
        <f>INDEX('Employee Performance'!$F$2:$F$221,MATCH(J7,'Employee Performance'!$S$2:$S$221,0))</f>
        <v/>
      </c>
      <c r="G7" s="3">
        <f>INDEX('Employee Performance'!$N$2:$N$221,MATCH(J7,'Employee Performance'!$S$2:$S$221,0))</f>
        <v/>
      </c>
      <c r="H7" s="3">
        <f>INDEX('Employee Performance'!$O$2:$O$221,MATCH(J7,'Employee Performance'!$S$2:$S$221,0))</f>
        <v/>
      </c>
      <c r="I7">
        <f>INDEX('Employee Performance'!$K$2:$K$221,MATCH(J7,'Employee Performance'!$S$2:$S$221,0))</f>
        <v/>
      </c>
      <c r="J7">
        <f>LARGE('Employee Performance'!$S$2:$S$221,A7)</f>
        <v/>
      </c>
    </row>
    <row r="8">
      <c r="A8" t="n">
        <v>7</v>
      </c>
      <c r="B8">
        <f>INDEX('Employee Performance'!$A$2:$A$221,MATCH(J8,'Employee Performance'!$S$2:$S$221,0))</f>
        <v/>
      </c>
      <c r="C8">
        <f>INDEX('Employee Performance'!$B$2:$B$221,MATCH(J8,'Employee Performance'!$S$2:$S$221,0))</f>
        <v/>
      </c>
      <c r="D8">
        <f>INDEX('Employee Performance'!$C$2:$C$221,MATCH(J8,'Employee Performance'!$S$2:$S$221,0))</f>
        <v/>
      </c>
      <c r="E8">
        <f>INDEX('Employee Performance'!$D$2:$D$221,MATCH(J8,'Employee Performance'!$S$2:$S$221,0))</f>
        <v/>
      </c>
      <c r="F8">
        <f>INDEX('Employee Performance'!$F$2:$F$221,MATCH(J8,'Employee Performance'!$S$2:$S$221,0))</f>
        <v/>
      </c>
      <c r="G8" s="3">
        <f>INDEX('Employee Performance'!$N$2:$N$221,MATCH(J8,'Employee Performance'!$S$2:$S$221,0))</f>
        <v/>
      </c>
      <c r="H8" s="3">
        <f>INDEX('Employee Performance'!$O$2:$O$221,MATCH(J8,'Employee Performance'!$S$2:$S$221,0))</f>
        <v/>
      </c>
      <c r="I8">
        <f>INDEX('Employee Performance'!$K$2:$K$221,MATCH(J8,'Employee Performance'!$S$2:$S$221,0))</f>
        <v/>
      </c>
      <c r="J8">
        <f>LARGE('Employee Performance'!$S$2:$S$221,A8)</f>
        <v/>
      </c>
    </row>
    <row r="9">
      <c r="A9" t="n">
        <v>8</v>
      </c>
      <c r="B9">
        <f>INDEX('Employee Performance'!$A$2:$A$221,MATCH(J9,'Employee Performance'!$S$2:$S$221,0))</f>
        <v/>
      </c>
      <c r="C9">
        <f>INDEX('Employee Performance'!$B$2:$B$221,MATCH(J9,'Employee Performance'!$S$2:$S$221,0))</f>
        <v/>
      </c>
      <c r="D9">
        <f>INDEX('Employee Performance'!$C$2:$C$221,MATCH(J9,'Employee Performance'!$S$2:$S$221,0))</f>
        <v/>
      </c>
      <c r="E9">
        <f>INDEX('Employee Performance'!$D$2:$D$221,MATCH(J9,'Employee Performance'!$S$2:$S$221,0))</f>
        <v/>
      </c>
      <c r="F9">
        <f>INDEX('Employee Performance'!$F$2:$F$221,MATCH(J9,'Employee Performance'!$S$2:$S$221,0))</f>
        <v/>
      </c>
      <c r="G9" s="3">
        <f>INDEX('Employee Performance'!$N$2:$N$221,MATCH(J9,'Employee Performance'!$S$2:$S$221,0))</f>
        <v/>
      </c>
      <c r="H9" s="3">
        <f>INDEX('Employee Performance'!$O$2:$O$221,MATCH(J9,'Employee Performance'!$S$2:$S$221,0))</f>
        <v/>
      </c>
      <c r="I9">
        <f>INDEX('Employee Performance'!$K$2:$K$221,MATCH(J9,'Employee Performance'!$S$2:$S$221,0))</f>
        <v/>
      </c>
      <c r="J9">
        <f>LARGE('Employee Performance'!$S$2:$S$221,A9)</f>
        <v/>
      </c>
    </row>
    <row r="10">
      <c r="A10" t="n">
        <v>9</v>
      </c>
      <c r="B10">
        <f>INDEX('Employee Performance'!$A$2:$A$221,MATCH(J10,'Employee Performance'!$S$2:$S$221,0))</f>
        <v/>
      </c>
      <c r="C10">
        <f>INDEX('Employee Performance'!$B$2:$B$221,MATCH(J10,'Employee Performance'!$S$2:$S$221,0))</f>
        <v/>
      </c>
      <c r="D10">
        <f>INDEX('Employee Performance'!$C$2:$C$221,MATCH(J10,'Employee Performance'!$S$2:$S$221,0))</f>
        <v/>
      </c>
      <c r="E10">
        <f>INDEX('Employee Performance'!$D$2:$D$221,MATCH(J10,'Employee Performance'!$S$2:$S$221,0))</f>
        <v/>
      </c>
      <c r="F10">
        <f>INDEX('Employee Performance'!$F$2:$F$221,MATCH(J10,'Employee Performance'!$S$2:$S$221,0))</f>
        <v/>
      </c>
      <c r="G10" s="3">
        <f>INDEX('Employee Performance'!$N$2:$N$221,MATCH(J10,'Employee Performance'!$S$2:$S$221,0))</f>
        <v/>
      </c>
      <c r="H10" s="3">
        <f>INDEX('Employee Performance'!$O$2:$O$221,MATCH(J10,'Employee Performance'!$S$2:$S$221,0))</f>
        <v/>
      </c>
      <c r="I10">
        <f>INDEX('Employee Performance'!$K$2:$K$221,MATCH(J10,'Employee Performance'!$S$2:$S$221,0))</f>
        <v/>
      </c>
      <c r="J10">
        <f>LARGE('Employee Performance'!$S$2:$S$221,A10)</f>
        <v/>
      </c>
    </row>
    <row r="11">
      <c r="A11" t="n">
        <v>10</v>
      </c>
      <c r="B11">
        <f>INDEX('Employee Performance'!$A$2:$A$221,MATCH(J11,'Employee Performance'!$S$2:$S$221,0))</f>
        <v/>
      </c>
      <c r="C11">
        <f>INDEX('Employee Performance'!$B$2:$B$221,MATCH(J11,'Employee Performance'!$S$2:$S$221,0))</f>
        <v/>
      </c>
      <c r="D11">
        <f>INDEX('Employee Performance'!$C$2:$C$221,MATCH(J11,'Employee Performance'!$S$2:$S$221,0))</f>
        <v/>
      </c>
      <c r="E11">
        <f>INDEX('Employee Performance'!$D$2:$D$221,MATCH(J11,'Employee Performance'!$S$2:$S$221,0))</f>
        <v/>
      </c>
      <c r="F11">
        <f>INDEX('Employee Performance'!$F$2:$F$221,MATCH(J11,'Employee Performance'!$S$2:$S$221,0))</f>
        <v/>
      </c>
      <c r="G11" s="3">
        <f>INDEX('Employee Performance'!$N$2:$N$221,MATCH(J11,'Employee Performance'!$S$2:$S$221,0))</f>
        <v/>
      </c>
      <c r="H11" s="3">
        <f>INDEX('Employee Performance'!$O$2:$O$221,MATCH(J11,'Employee Performance'!$S$2:$S$221,0))</f>
        <v/>
      </c>
      <c r="I11">
        <f>INDEX('Employee Performance'!$K$2:$K$221,MATCH(J11,'Employee Performance'!$S$2:$S$221,0))</f>
        <v/>
      </c>
      <c r="J11">
        <f>LARGE('Employee Performance'!$S$2:$S$221,A11)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2" customWidth="1" min="2" max="2"/>
    <col width="35" customWidth="1" min="4" max="4"/>
    <col width="28" customWidth="1" min="5" max="5"/>
    <col width="45" customWidth="1" min="6" max="6"/>
  </cols>
  <sheetData>
    <row r="1">
      <c r="A1" s="7" t="inlineStr">
        <is>
          <t>Scenario</t>
        </is>
      </c>
      <c r="B1" s="7" t="inlineStr">
        <is>
          <t>Assumption</t>
        </is>
      </c>
      <c r="C1" s="7" t="inlineStr">
        <is>
          <t>Input Value</t>
        </is>
      </c>
      <c r="D1" s="7" t="inlineStr">
        <is>
          <t>Purpose</t>
        </is>
      </c>
      <c r="E1" s="7" t="inlineStr">
        <is>
          <t>KPI to Review</t>
        </is>
      </c>
      <c r="F1" s="7" t="inlineStr">
        <is>
          <t>Planning Note</t>
        </is>
      </c>
    </row>
    <row r="2">
      <c r="A2" t="inlineStr">
        <is>
          <t>Baseline</t>
        </is>
      </c>
      <c r="B2" t="inlineStr">
        <is>
          <t>No intervention</t>
        </is>
      </c>
      <c r="C2" s="9" t="n">
        <v>0</v>
      </c>
      <c r="D2" t="inlineStr">
        <is>
          <t>Reference case</t>
        </is>
      </c>
      <c r="E2" t="inlineStr">
        <is>
          <t>Current KPIs</t>
        </is>
      </c>
      <c r="F2" t="inlineStr">
        <is>
          <t>Reference case</t>
        </is>
      </c>
    </row>
    <row r="3">
      <c r="A3" t="inlineStr">
        <is>
          <t>Scenario 1</t>
        </is>
      </c>
      <c r="B3" t="inlineStr">
        <is>
          <t>Increase Training Hours</t>
        </is>
      </c>
      <c r="C3" s="9" t="n">
        <v>0.2</v>
      </c>
      <c r="D3" t="inlineStr">
        <is>
          <t>Increase training by 20%</t>
        </is>
      </c>
      <c r="E3" t="inlineStr">
        <is>
          <t>Avg Performance Rating</t>
        </is>
      </c>
      <c r="F3" t="inlineStr">
        <is>
          <t>Review adjusted data</t>
        </is>
      </c>
    </row>
    <row r="4">
      <c r="A4" t="inlineStr">
        <is>
          <t>Scenario 2</t>
        </is>
      </c>
      <c r="B4" t="inlineStr">
        <is>
          <t>Reduce Average Hours Worked</t>
        </is>
      </c>
      <c r="C4" s="9" t="n">
        <v>-0.1</v>
      </c>
      <c r="D4" t="inlineStr">
        <is>
          <t>Reduce hours worked by 10%</t>
        </is>
      </c>
      <c r="E4" t="inlineStr">
        <is>
          <t>Avg Utilization %</t>
        </is>
      </c>
      <c r="F4" t="inlineStr">
        <is>
          <t>Consider work-life balance</t>
        </is>
      </c>
    </row>
    <row r="5">
      <c r="A5" t="inlineStr">
        <is>
          <t>Scenario 3</t>
        </is>
      </c>
      <c r="B5" t="inlineStr">
        <is>
          <t>Increase Target Achievement</t>
        </is>
      </c>
      <c r="C5" s="9" t="n">
        <v>0.15</v>
      </c>
      <c r="D5" t="inlineStr">
        <is>
          <t>Increase target achievement by 15%</t>
        </is>
      </c>
      <c r="E5" t="inlineStr">
        <is>
          <t>Avg Target Achievement %</t>
        </is>
      </c>
      <c r="F5" t="inlineStr">
        <is>
          <t>Sensitivity assumption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7" t="inlineStr">
        <is>
          <t>PROJECT GUIDE</t>
        </is>
      </c>
      <c r="B1" s="7" t="inlineStr"/>
    </row>
    <row r="2">
      <c r="A2" t="inlineStr">
        <is>
          <t>1</t>
        </is>
      </c>
      <c r="B2" s="10" t="inlineStr">
        <is>
          <t>Utilization % = Billable Hours / Hours Worked.</t>
        </is>
      </c>
    </row>
    <row r="3">
      <c r="A3" t="inlineStr">
        <is>
          <t>2</t>
        </is>
      </c>
      <c r="B3" s="10" t="inlineStr">
        <is>
          <t>Target Achievement % = Targets Achieved / Targets Assigned.</t>
        </is>
      </c>
    </row>
    <row r="4">
      <c r="A4" t="inlineStr">
        <is>
          <t>3</t>
        </is>
      </c>
      <c r="B4" s="10" t="inlineStr">
        <is>
          <t>Training groups: Low (&lt;10), Medium (10–20), High (20+).</t>
        </is>
      </c>
    </row>
    <row r="5">
      <c r="A5" t="inlineStr">
        <is>
          <t>4</t>
        </is>
      </c>
      <c r="B5" s="10" t="inlineStr">
        <is>
          <t>Star Performer: Rating &gt;=4 and Utilization &gt;=80%; Meets Expectations: Rating &gt;=3; otherwise Needs Improvement.</t>
        </is>
      </c>
    </row>
    <row r="6">
      <c r="A6" t="inlineStr">
        <is>
          <t>5</t>
        </is>
      </c>
      <c r="B6" s="10" t="inlineStr">
        <is>
          <t>Productivity groups: High &gt;=90%; Medium 60–89%; Low &lt;60% target achievement.</t>
        </is>
      </c>
    </row>
    <row r="7">
      <c r="A7" t="inlineStr">
        <is>
          <t>6</t>
        </is>
      </c>
      <c r="B7" s="10" t="inlineStr">
        <is>
          <t>Dashboard includes 5–6 KPI cards, four slicer-style panels, charts, monthly trend, and summary tables.</t>
        </is>
      </c>
    </row>
    <row r="8">
      <c r="A8" t="inlineStr">
        <is>
          <t>7</t>
        </is>
      </c>
      <c r="B8" s="10" t="inlineStr">
        <is>
          <t>Top 10 Star Performers lists the highest productivity scores.</t>
        </is>
      </c>
    </row>
    <row r="9">
      <c r="A9" t="inlineStr">
        <is>
          <t>8</t>
        </is>
      </c>
      <c r="B9" s="10" t="inlineStr">
        <is>
          <t>What-If Scenarios contains the three assumptions in the project requirements.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2026-09-20T13:57:46Z</dcterms:created>
  <dcterms:modified xmlns:dcterms="http://purl.org/dc/terms/" xmlns:xsi="http://www.w3.org/2001/XMLSchema-instance" xsi:type="dcterms:W3CDTF">2026-09-20T13:57:46Z</dcterms:modified>
</cp:coreProperties>
</file>